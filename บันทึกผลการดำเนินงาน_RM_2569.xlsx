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บันทึกผล" sheetId="1" state="visible" r:id="rId1"/>
    <sheet xmlns:r="http://schemas.openxmlformats.org/officeDocument/2006/relationships" name="วิธีใช้" sheetId="2" state="hidden" r:id="rId2"/>
    <sheet xmlns:r="http://schemas.openxmlformats.org/officeDocument/2006/relationships" name="สรุปรายเดือน_กิจกรรม" sheetId="3" state="hidden" r:id="rId3"/>
    <sheet xmlns:r="http://schemas.openxmlformats.org/officeDocument/2006/relationships" name="รายงานประจำเดือน" sheetId="4" state="hidden" r:id="rId4"/>
    <sheet xmlns:r="http://schemas.openxmlformats.org/officeDocument/2006/relationships" name="สรุปเป้าหมายตามแผน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rgb="FF16275C"/>
      <sz val="13"/>
    </font>
    <font>
      <name val="TH SarabunPSK"/>
      <family val="2"/>
      <color theme="1"/>
      <sz val="14"/>
    </font>
  </fonts>
  <fills count="8">
    <fill>
      <patternFill/>
    </fill>
    <fill>
      <patternFill patternType="gray125"/>
    </fill>
    <fill>
      <patternFill patternType="solid">
        <fgColor rgb="FF16275C"/>
      </patternFill>
    </fill>
    <fill>
      <patternFill patternType="solid">
        <fgColor rgb="FF8A6D1F"/>
      </patternFill>
    </fill>
    <fill>
      <patternFill patternType="solid">
        <fgColor rgb="FF1E3A8A"/>
      </patternFill>
    </fill>
    <fill>
      <patternFill patternType="solid">
        <fgColor rgb="FFEEF2F7"/>
      </patternFill>
    </fill>
    <fill>
      <patternFill patternType="solid">
        <fgColor rgb="FFFBF3DD"/>
      </patternFill>
    </fill>
    <fill>
      <patternFill patternType="solid">
        <fgColor rgb="FFEAF1FB"/>
      </patternFill>
    </fill>
  </fills>
  <borders count="2">
    <border>
      <left/>
      <right/>
      <top/>
      <bottom/>
      <diagonal/>
    </border>
    <border>
      <left style="thin">
        <color rgb="FFC7CED6"/>
      </left>
      <right style="thin">
        <color rgb="FFC7CED6"/>
      </right>
      <top style="thin">
        <color rgb="FFC7CED6"/>
      </top>
      <bottom style="thin">
        <color rgb="FFC7CED6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  <xf numFmtId="164" fontId="0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</cellXfs>
  <cellStyles count="1">
    <cellStyle name="Normal" xfId="0" builtinId="0"/>
  </cellStyles>
  <dxfs count="35"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  <dxf>
      <font>
        <name val="TH SarabunPSK"/>
        <family val="2"/>
        <strike val="0"/>
        <outline val="0"/>
        <shadow val="0"/>
        <color theme="1"/>
        <sz val="14"/>
        <vertAlign val="baselin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MEntry" displayName="RMEntry" ref="A1:AH49" headerRowCount="1" dataDxfId="34">
  <autoFilter ref="A1:AH49"/>
  <tableColumns count="34">
    <tableColumn id="1" name="รหัสกิจกรรม" dataDxfId="33"/>
    <tableColumn id="2" name="แผนหลัก" dataDxfId="32"/>
    <tableColumn id="3" name="แผนงานย่อย" dataDxfId="31"/>
    <tableColumn id="4" name="รหัส" dataDxfId="30"/>
    <tableColumn id="5" name="ชื่อกิจกรรม" dataDxfId="29"/>
    <tableColumn id="6" name="ผู้รับผิดชอบ" dataDxfId="28"/>
    <tableColumn id="7" name="เป้า ม.ค." dataDxfId="27"/>
    <tableColumn id="8" name="เป้า ก.พ." dataDxfId="26"/>
    <tableColumn id="9" name="เป้า มี.ค." dataDxfId="25"/>
    <tableColumn id="10" name="เป้า เม.ย." dataDxfId="24"/>
    <tableColumn id="11" name="เป้า พ.ค." dataDxfId="23"/>
    <tableColumn id="12" name="เป้า มิ.ย." dataDxfId="22"/>
    <tableColumn id="13" name="เป้า ก.ค." dataDxfId="21"/>
    <tableColumn id="14" name="เป้า ส.ค." dataDxfId="20"/>
    <tableColumn id="15" name="เป้า ก.ย." dataDxfId="19"/>
    <tableColumn id="16" name="เป้า ต.ค." dataDxfId="18"/>
    <tableColumn id="17" name="เป้า พ.ย." dataDxfId="17"/>
    <tableColumn id="18" name="เป้า ธ.ค." dataDxfId="16"/>
    <tableColumn id="19" name="ผล ม.ค." dataDxfId="15"/>
    <tableColumn id="20" name="ผล ก.พ." dataDxfId="14"/>
    <tableColumn id="21" name="ผล มี.ค." dataDxfId="13"/>
    <tableColumn id="22" name="ผล เม.ย." dataDxfId="12"/>
    <tableColumn id="23" name="ผล พ.ค." dataDxfId="11"/>
    <tableColumn id="24" name="ผล มิ.ย." dataDxfId="10"/>
    <tableColumn id="25" name="ผล ก.ค." dataDxfId="9"/>
    <tableColumn id="26" name="ผล ส.ค." dataDxfId="8"/>
    <tableColumn id="27" name="ผล ก.ย." dataDxfId="7"/>
    <tableColumn id="28" name="ผล ต.ค." dataDxfId="6"/>
    <tableColumn id="29" name="ผล พ.ย." dataDxfId="5"/>
    <tableColumn id="30" name="ผล ธ.ค." dataDxfId="4"/>
    <tableColumn id="31" name="รายละเอียดการดำเนินการ (ล่าสุด)" dataDxfId="3"/>
    <tableColumn id="32" name="ปัญหาอุปสรรค" dataDxfId="2"/>
    <tableColumn id="33" name="ผู้รายงาน" dataDxfId="1"/>
    <tableColumn id="34" name="ถ่วงน้ำหนัก(%)" dataDxfId="0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tabSelected="1" zoomScale="85" zoomScaleNormal="85" workbookViewId="0">
      <pane xSplit="6" ySplit="1" topLeftCell="G19" activePane="bottomRight" state="frozen"/>
      <selection pane="topRight" activeCell="A1" sqref="A1"/>
      <selection pane="bottomLeft" activeCell="A1" sqref="A1"/>
      <selection pane="bottomRight" activeCell="AB5" sqref="AB5"/>
    </sheetView>
  </sheetViews>
  <sheetFormatPr baseColWidth="8" defaultColWidth="8.81640625" defaultRowHeight="14.5"/>
  <cols>
    <col width="15" customWidth="1" min="1" max="1"/>
    <col width="7" customWidth="1" min="2" max="2"/>
    <col width="9" customWidth="1" min="3" max="3"/>
    <col width="9" bestFit="1" customWidth="1" min="4" max="4"/>
    <col width="36" customWidth="1" min="5" max="5"/>
    <col hidden="1" width="16" customWidth="1" min="6" max="6"/>
    <col width="7" customWidth="1" min="7" max="30"/>
    <col hidden="1" width="32" customWidth="1" min="31" max="31"/>
    <col hidden="1" width="24" customWidth="1" min="32" max="32"/>
    <col hidden="1" width="13" customWidth="1" min="33" max="33"/>
    <col hidden="1" width="14" customWidth="1" min="34" max="34"/>
  </cols>
  <sheetData>
    <row r="1" ht="30" customHeight="1">
      <c r="A1" s="1" t="inlineStr">
        <is>
          <t>รหัสกิจกรรม</t>
        </is>
      </c>
      <c r="B1" s="1" t="inlineStr">
        <is>
          <t>แผนหลัก</t>
        </is>
      </c>
      <c r="C1" s="1" t="inlineStr">
        <is>
          <t>แผนงานย่อย</t>
        </is>
      </c>
      <c r="D1" s="1" t="inlineStr">
        <is>
          <t>รหัส</t>
        </is>
      </c>
      <c r="E1" s="1" t="inlineStr">
        <is>
          <t>ชื่อกิจกรรม</t>
        </is>
      </c>
      <c r="F1" s="1" t="inlineStr">
        <is>
          <t>ผู้รับผิดชอบ</t>
        </is>
      </c>
      <c r="G1" s="2" t="inlineStr">
        <is>
          <t>เป้า ม.ค.</t>
        </is>
      </c>
      <c r="H1" s="2" t="inlineStr">
        <is>
          <t>เป้า ก.พ.</t>
        </is>
      </c>
      <c r="I1" s="2" t="inlineStr">
        <is>
          <t>เป้า มี.ค.</t>
        </is>
      </c>
      <c r="J1" s="2" t="inlineStr">
        <is>
          <t>เป้า เม.ย.</t>
        </is>
      </c>
      <c r="K1" s="2" t="inlineStr">
        <is>
          <t>เป้า พ.ค.</t>
        </is>
      </c>
      <c r="L1" s="2" t="inlineStr">
        <is>
          <t>เป้า มิ.ย.</t>
        </is>
      </c>
      <c r="M1" s="2" t="inlineStr">
        <is>
          <t>เป้า ก.ค.</t>
        </is>
      </c>
      <c r="N1" s="2" t="inlineStr">
        <is>
          <t>เป้า ส.ค.</t>
        </is>
      </c>
      <c r="O1" s="2" t="inlineStr">
        <is>
          <t>เป้า ก.ย.</t>
        </is>
      </c>
      <c r="P1" s="2" t="inlineStr">
        <is>
          <t>เป้า ต.ค.</t>
        </is>
      </c>
      <c r="Q1" s="2" t="inlineStr">
        <is>
          <t>เป้า พ.ย.</t>
        </is>
      </c>
      <c r="R1" s="2" t="inlineStr">
        <is>
          <t>เป้า ธ.ค.</t>
        </is>
      </c>
      <c r="S1" s="3" t="inlineStr">
        <is>
          <t>ผล ม.ค.</t>
        </is>
      </c>
      <c r="T1" s="3" t="inlineStr">
        <is>
          <t>ผล ก.พ.</t>
        </is>
      </c>
      <c r="U1" s="3" t="inlineStr">
        <is>
          <t>ผล มี.ค.</t>
        </is>
      </c>
      <c r="V1" s="3" t="inlineStr">
        <is>
          <t>ผล เม.ย.</t>
        </is>
      </c>
      <c r="W1" s="3" t="inlineStr">
        <is>
          <t>ผล พ.ค.</t>
        </is>
      </c>
      <c r="X1" s="3" t="inlineStr">
        <is>
          <t>ผล มิ.ย.</t>
        </is>
      </c>
      <c r="Y1" s="3" t="inlineStr">
        <is>
          <t>ผล ก.ค.</t>
        </is>
      </c>
      <c r="Z1" s="3" t="inlineStr">
        <is>
          <t>ผล ส.ค.</t>
        </is>
      </c>
      <c r="AA1" s="3" t="inlineStr">
        <is>
          <t>ผล ก.ย.</t>
        </is>
      </c>
      <c r="AB1" s="3" t="inlineStr">
        <is>
          <t>ผล ต.ค.</t>
        </is>
      </c>
      <c r="AC1" s="3" t="inlineStr">
        <is>
          <t>ผล พ.ย.</t>
        </is>
      </c>
      <c r="AD1" s="3" t="inlineStr">
        <is>
          <t>ผล ธ.ค.</t>
        </is>
      </c>
      <c r="AE1" s="1" t="inlineStr">
        <is>
          <t>รายละเอียดการดำเนินการ (ล่าสุด)</t>
        </is>
      </c>
      <c r="AF1" s="1" t="inlineStr">
        <is>
          <t>ปัญหาอุปสรรค</t>
        </is>
      </c>
      <c r="AG1" s="1" t="inlineStr">
        <is>
          <t>ผู้รายงาน</t>
        </is>
      </c>
      <c r="AH1" s="1" t="inlineStr">
        <is>
          <t>ถ่วงน้ำหนัก(%)</t>
        </is>
      </c>
    </row>
    <row r="2" ht="36" customHeight="1">
      <c r="A2" s="11" t="inlineStr">
        <is>
          <t>P_1.1</t>
        </is>
      </c>
      <c r="B2" s="11" t="inlineStr">
        <is>
          <t>1.</t>
        </is>
      </c>
      <c r="C2" s="11" t="inlineStr">
        <is>
          <t>1.1</t>
        </is>
      </c>
      <c r="D2" s="12" t="inlineStr">
        <is>
          <t>1.1</t>
        </is>
      </c>
      <c r="E2" s="12" t="inlineStr">
        <is>
          <t>การปรับปรุงโครงสร้างการดำเนินงานด้าน GRC เพื่อการดำเนินงานระดับสายงาน</t>
        </is>
      </c>
      <c r="F2" s="11" t="n"/>
      <c r="G2" s="13" t="n">
        <v>8.300000000000001</v>
      </c>
      <c r="H2" s="13" t="n">
        <v>16.7</v>
      </c>
      <c r="I2" s="13" t="n">
        <v>25</v>
      </c>
      <c r="J2" s="13" t="n">
        <v>33.3</v>
      </c>
      <c r="K2" s="13" t="n">
        <v>41.7</v>
      </c>
      <c r="L2" s="13" t="n">
        <v>50</v>
      </c>
      <c r="M2" s="13" t="n">
        <v>58.3</v>
      </c>
      <c r="N2" s="13" t="n">
        <v>66.7</v>
      </c>
      <c r="O2" s="13" t="n">
        <v>75</v>
      </c>
      <c r="P2" s="13" t="n">
        <v>83.3</v>
      </c>
      <c r="Q2" s="13" t="n">
        <v>91.7</v>
      </c>
      <c r="R2" s="13" t="n">
        <v>100</v>
      </c>
      <c r="S2" s="14" t="n">
        <v>8.300000000000001</v>
      </c>
      <c r="T2" s="14" t="n">
        <v>16.7</v>
      </c>
      <c r="U2" s="14" t="n">
        <v>25</v>
      </c>
      <c r="V2" s="14" t="n">
        <v>33.3</v>
      </c>
      <c r="W2" s="14" t="n">
        <v>41.7</v>
      </c>
      <c r="X2" s="14" t="n">
        <v>50</v>
      </c>
      <c r="Y2" s="14" t="n">
        <v>58.3</v>
      </c>
      <c r="Z2" s="14" t="n">
        <v>66.7</v>
      </c>
      <c r="AA2" s="14" t="n">
        <v>75</v>
      </c>
      <c r="AB2" s="14" t="n">
        <v>83.3</v>
      </c>
      <c r="AC2" s="14" t="n"/>
      <c r="AD2" s="14" t="n"/>
      <c r="AE2" s="15" t="inlineStr">
        <is>
          <t>ดำเนินการ การปรับปรุงโครงสร้าง เป็นไปตามแผน (ถึง ต.ค.)</t>
        </is>
      </c>
      <c r="AF2" s="15" t="n"/>
      <c r="AG2" s="16" t="inlineStr">
        <is>
          <t>-</t>
        </is>
      </c>
      <c r="AH2" s="17" t="n">
        <v>2.08</v>
      </c>
    </row>
    <row r="3" ht="54" customHeight="1">
      <c r="A3" s="11" t="inlineStr">
        <is>
          <t>P_1.2</t>
        </is>
      </c>
      <c r="B3" s="11" t="inlineStr">
        <is>
          <t>1.</t>
        </is>
      </c>
      <c r="C3" s="11" t="inlineStr">
        <is>
          <t>1.2</t>
        </is>
      </c>
      <c r="D3" s="12" t="inlineStr">
        <is>
          <t>1.2</t>
        </is>
      </c>
      <c r="E3" s="12" t="inlineStr">
        <is>
          <t>โครงสร้างหน่วยงานที่ทำหน้าที่รับผิดชอบการกำกับดูแลด้าน IT Risk และ IT Compliance (รวมถึงระบบเทคโนโลยีดิจิทัล และ AI) (2nd line)</t>
        </is>
      </c>
      <c r="F3" s="11" t="n"/>
      <c r="G3" s="13" t="n">
        <v>8.300000000000001</v>
      </c>
      <c r="H3" s="13" t="n">
        <v>16.7</v>
      </c>
      <c r="I3" s="13" t="n">
        <v>25</v>
      </c>
      <c r="J3" s="13" t="n">
        <v>33.3</v>
      </c>
      <c r="K3" s="13" t="n">
        <v>41.7</v>
      </c>
      <c r="L3" s="13" t="n">
        <v>50</v>
      </c>
      <c r="M3" s="13" t="n">
        <v>58.3</v>
      </c>
      <c r="N3" s="13" t="n">
        <v>66.7</v>
      </c>
      <c r="O3" s="13" t="n">
        <v>75</v>
      </c>
      <c r="P3" s="13" t="n">
        <v>83.3</v>
      </c>
      <c r="Q3" s="13" t="n">
        <v>91.7</v>
      </c>
      <c r="R3" s="13" t="n">
        <v>100</v>
      </c>
      <c r="S3" s="14" t="n">
        <v>8.300000000000001</v>
      </c>
      <c r="T3" s="14" t="n">
        <v>16.7</v>
      </c>
      <c r="U3" s="14" t="n">
        <v>25</v>
      </c>
      <c r="V3" s="14" t="n">
        <v>33.3</v>
      </c>
      <c r="W3" s="14" t="n">
        <v>41.7</v>
      </c>
      <c r="X3" s="14" t="n">
        <v>50</v>
      </c>
      <c r="Y3" s="14" t="n">
        <v>58.3</v>
      </c>
      <c r="Z3" s="14" t="n">
        <v>66.7</v>
      </c>
      <c r="AA3" s="14" t="n">
        <v>75</v>
      </c>
      <c r="AB3" s="14" t="n">
        <v>83.3</v>
      </c>
      <c r="AC3" s="14" t="n"/>
      <c r="AD3" s="14" t="n"/>
      <c r="AE3" s="15" t="inlineStr">
        <is>
          <t>ดำเนินการ โครงสร้างหน่วยงานที่ เป็นไปตามแผน (ถึง ต.ค.)</t>
        </is>
      </c>
      <c r="AF3" s="15" t="n"/>
      <c r="AG3" s="16" t="inlineStr">
        <is>
          <t>-</t>
        </is>
      </c>
      <c r="AH3" s="17" t="n">
        <v>2.08</v>
      </c>
    </row>
    <row r="4" ht="36" customHeight="1">
      <c r="A4" s="11" t="inlineStr">
        <is>
          <t>P_1.3</t>
        </is>
      </c>
      <c r="B4" s="11" t="inlineStr">
        <is>
          <t>1.</t>
        </is>
      </c>
      <c r="C4" s="11" t="inlineStr">
        <is>
          <t>1.3</t>
        </is>
      </c>
      <c r="D4" s="12" t="inlineStr">
        <is>
          <t>1.3</t>
        </is>
      </c>
      <c r="E4" s="12" t="inlineStr">
        <is>
          <t>การจัดทำ Risk Taxonomy เพื่อความสอดคล้องในการระบุ และจัดประเภทความเสี่ยง</t>
        </is>
      </c>
      <c r="F4" s="11" t="n"/>
      <c r="G4" s="13" t="n">
        <v>8.300000000000001</v>
      </c>
      <c r="H4" s="13" t="n">
        <v>16.7</v>
      </c>
      <c r="I4" s="13" t="n">
        <v>25</v>
      </c>
      <c r="J4" s="13" t="n">
        <v>33.3</v>
      </c>
      <c r="K4" s="13" t="n">
        <v>41.7</v>
      </c>
      <c r="L4" s="13" t="n">
        <v>50</v>
      </c>
      <c r="M4" s="13" t="n">
        <v>58.3</v>
      </c>
      <c r="N4" s="13" t="n">
        <v>66.7</v>
      </c>
      <c r="O4" s="13" t="n">
        <v>75</v>
      </c>
      <c r="P4" s="13" t="n">
        <v>83.3</v>
      </c>
      <c r="Q4" s="13" t="n">
        <v>91.7</v>
      </c>
      <c r="R4" s="13" t="n">
        <v>100</v>
      </c>
      <c r="S4" s="14" t="n">
        <v>8.300000000000001</v>
      </c>
      <c r="T4" s="14" t="n">
        <v>16.7</v>
      </c>
      <c r="U4" s="14" t="n">
        <v>25</v>
      </c>
      <c r="V4" s="14" t="n">
        <v>33.3</v>
      </c>
      <c r="W4" s="14" t="n">
        <v>41.7</v>
      </c>
      <c r="X4" s="14" t="n">
        <v>50</v>
      </c>
      <c r="Y4" s="14" t="n">
        <v>58.3</v>
      </c>
      <c r="Z4" s="14" t="n">
        <v>66.7</v>
      </c>
      <c r="AA4" s="14" t="n">
        <v>75</v>
      </c>
      <c r="AB4" s="14" t="n">
        <v>83.3</v>
      </c>
      <c r="AC4" s="14" t="n"/>
      <c r="AD4" s="14" t="n"/>
      <c r="AE4" s="15" t="inlineStr">
        <is>
          <t>ดำเนินการ การจัดทำ Risk Taxono เป็นไปตามแผน (ถึง ต.ค.)</t>
        </is>
      </c>
      <c r="AF4" s="15" t="n"/>
      <c r="AG4" s="16" t="inlineStr">
        <is>
          <t>-</t>
        </is>
      </c>
      <c r="AH4" s="17" t="n">
        <v>2.08</v>
      </c>
    </row>
    <row r="5" ht="36" customHeight="1">
      <c r="A5" s="11" t="inlineStr">
        <is>
          <t>P_1.4</t>
        </is>
      </c>
      <c r="B5" s="11" t="inlineStr">
        <is>
          <t>1.</t>
        </is>
      </c>
      <c r="C5" s="11" t="inlineStr">
        <is>
          <t>1.4</t>
        </is>
      </c>
      <c r="D5" s="12" t="inlineStr">
        <is>
          <t>1.4</t>
        </is>
      </c>
      <c r="E5" s="12" t="inlineStr">
        <is>
          <t>การวิเคราะห์ตัวชี้วัดความเสี่ยง (KRI) เพื่อวิเคราะห์แนวโน้ม และคาดการณ์เหตุการณ์ความเสี่ยง</t>
        </is>
      </c>
      <c r="F5" s="11" t="n"/>
      <c r="G5" s="13" t="n"/>
      <c r="H5" s="13" t="n"/>
      <c r="I5" s="13" t="n"/>
      <c r="J5" s="13" t="n">
        <v>33.3</v>
      </c>
      <c r="K5" s="13" t="n">
        <v>66.7</v>
      </c>
      <c r="L5" s="13" t="n">
        <v>100</v>
      </c>
      <c r="M5" s="13" t="n">
        <v>100</v>
      </c>
      <c r="N5" s="13" t="n">
        <v>100</v>
      </c>
      <c r="O5" s="13" t="n">
        <v>100</v>
      </c>
      <c r="P5" s="13" t="n">
        <v>100</v>
      </c>
      <c r="Q5" s="13" t="n">
        <v>100</v>
      </c>
      <c r="R5" s="13" t="n">
        <v>100</v>
      </c>
      <c r="S5" s="14" t="n"/>
      <c r="T5" s="14" t="n"/>
      <c r="U5" s="14" t="n"/>
      <c r="V5" s="14" t="n">
        <v>33.3</v>
      </c>
      <c r="W5" s="14" t="n">
        <v>66.7</v>
      </c>
      <c r="X5" s="14" t="n">
        <v>100</v>
      </c>
      <c r="Y5" s="14" t="n">
        <v>100</v>
      </c>
      <c r="Z5" s="14" t="n">
        <v>100</v>
      </c>
      <c r="AA5" s="14" t="n">
        <v>100</v>
      </c>
      <c r="AB5" s="14" t="n">
        <v>100</v>
      </c>
      <c r="AC5" s="14" t="n"/>
      <c r="AD5" s="14" t="n"/>
      <c r="AE5" s="15" t="inlineStr">
        <is>
          <t>ดำเนินการ การวิเคราะห์ตัวชี้วั เป็นไปตามแผน (ถึง ต.ค.)</t>
        </is>
      </c>
      <c r="AF5" s="15" t="n"/>
      <c r="AG5" s="16" t="inlineStr">
        <is>
          <t>-</t>
        </is>
      </c>
      <c r="AH5" s="17" t="n">
        <v>2.08</v>
      </c>
    </row>
    <row r="6" ht="36" customHeight="1">
      <c r="A6" s="11" t="inlineStr">
        <is>
          <t>P_1.5</t>
        </is>
      </c>
      <c r="B6" s="11" t="inlineStr">
        <is>
          <t>1.</t>
        </is>
      </c>
      <c r="C6" s="11" t="inlineStr">
        <is>
          <t>1.5</t>
        </is>
      </c>
      <c r="D6" s="12" t="inlineStr">
        <is>
          <t>1.5</t>
        </is>
      </c>
      <c r="E6" s="12" t="inlineStr">
        <is>
          <t>การสร้างวัฒนธรรม GRC ผ่าน GRC Survey และการสนทนากลุ่ม (Focus Group)</t>
        </is>
      </c>
      <c r="F6" s="11" t="n"/>
      <c r="G6" s="13" t="n"/>
      <c r="H6" s="13" t="n"/>
      <c r="I6" s="13" t="n"/>
      <c r="J6" s="13" t="n"/>
      <c r="K6" s="13" t="n"/>
      <c r="L6" s="13" t="n"/>
      <c r="M6" s="13" t="n">
        <v>20</v>
      </c>
      <c r="N6" s="13" t="n">
        <v>40</v>
      </c>
      <c r="O6" s="13" t="n">
        <v>60</v>
      </c>
      <c r="P6" s="13" t="n">
        <v>80</v>
      </c>
      <c r="Q6" s="13" t="n">
        <v>100</v>
      </c>
      <c r="R6" s="13" t="n">
        <v>100</v>
      </c>
      <c r="S6" s="14" t="n"/>
      <c r="T6" s="14" t="n"/>
      <c r="U6" s="14" t="n"/>
      <c r="V6" s="14" t="n"/>
      <c r="W6" s="14" t="n"/>
      <c r="X6" s="14" t="n"/>
      <c r="Y6" s="14" t="n">
        <v>20</v>
      </c>
      <c r="Z6" s="14" t="n">
        <v>40</v>
      </c>
      <c r="AA6" s="14" t="n">
        <v>60</v>
      </c>
      <c r="AB6" s="14" t="n">
        <v>80</v>
      </c>
      <c r="AC6" s="14" t="n"/>
      <c r="AD6" s="14" t="n"/>
      <c r="AE6" s="15" t="inlineStr">
        <is>
          <t>ดำเนินการ การสร้างวัฒนธรรม GRC เป็นไปตามแผน (ถึง ต.ค.)</t>
        </is>
      </c>
      <c r="AF6" s="15" t="n"/>
      <c r="AG6" s="16" t="inlineStr">
        <is>
          <t>-</t>
        </is>
      </c>
      <c r="AH6" s="17" t="n">
        <v>2.08</v>
      </c>
    </row>
    <row r="7" ht="54" customHeight="1">
      <c r="A7" s="11" t="inlineStr">
        <is>
          <t>P_1.6</t>
        </is>
      </c>
      <c r="B7" s="11" t="inlineStr">
        <is>
          <t>1.</t>
        </is>
      </c>
      <c r="C7" s="11" t="inlineStr">
        <is>
          <t>1.6</t>
        </is>
      </c>
      <c r="D7" s="12" t="inlineStr">
        <is>
          <t>1.6</t>
        </is>
      </c>
      <c r="E7" s="12" t="inlineStr">
        <is>
          <t>การพัฒนากระบวนการจัดทำหลักสูตรอบรมโดยอ้างอิงความเสี่ยง (Risk-based training) และติดตามผลการอบรม</t>
        </is>
      </c>
      <c r="F7" s="11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>
        <v>33.3</v>
      </c>
      <c r="Q7" s="13" t="n">
        <v>66.7</v>
      </c>
      <c r="R7" s="13" t="n">
        <v>100</v>
      </c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>
        <v>33.3</v>
      </c>
      <c r="AC7" s="14" t="n"/>
      <c r="AD7" s="14" t="n"/>
      <c r="AE7" s="15" t="inlineStr">
        <is>
          <t>ดำเนินการ การพัฒนากระบวนการจัด เป็นไปตามแผน (ถึง ต.ค.)</t>
        </is>
      </c>
      <c r="AF7" s="15" t="n"/>
      <c r="AG7" s="16" t="inlineStr">
        <is>
          <t>-</t>
        </is>
      </c>
      <c r="AH7" s="17" t="n">
        <v>2.08</v>
      </c>
    </row>
    <row r="8" ht="36" customHeight="1">
      <c r="A8" s="11" t="inlineStr">
        <is>
          <t>P_1.7</t>
        </is>
      </c>
      <c r="B8" s="11" t="inlineStr">
        <is>
          <t>1.</t>
        </is>
      </c>
      <c r="C8" s="11" t="inlineStr">
        <is>
          <t>1.7</t>
        </is>
      </c>
      <c r="D8" s="12" t="inlineStr">
        <is>
          <t>1.7</t>
        </is>
      </c>
      <c r="E8" s="12" t="inlineStr">
        <is>
          <t>การเชื่อมโยงการปฏิบัติงานด้าน GRC กับสิ่งจูงใจ (Incentive) หรือผลการปฏิบัติงาน (Performance)</t>
        </is>
      </c>
      <c r="F8" s="11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>
        <v>33.3</v>
      </c>
      <c r="Q8" s="13" t="n">
        <v>66.7</v>
      </c>
      <c r="R8" s="13" t="n">
        <v>100</v>
      </c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>
        <v>33.3</v>
      </c>
      <c r="AC8" s="14" t="n"/>
      <c r="AD8" s="14" t="n"/>
      <c r="AE8" s="15" t="inlineStr">
        <is>
          <t>ดำเนินการ การเชื่อมโยงการปฏิบั เป็นไปตามแผน (ถึง ต.ค.)</t>
        </is>
      </c>
      <c r="AF8" s="15" t="n"/>
      <c r="AG8" s="16" t="inlineStr">
        <is>
          <t>-</t>
        </is>
      </c>
      <c r="AH8" s="17" t="n">
        <v>2.08</v>
      </c>
    </row>
    <row r="9" ht="54" customHeight="1">
      <c r="A9" s="11" t="inlineStr">
        <is>
          <t>P_1.8</t>
        </is>
      </c>
      <c r="B9" s="11" t="inlineStr">
        <is>
          <t>1.</t>
        </is>
      </c>
      <c r="C9" s="11" t="inlineStr">
        <is>
          <t>1.8</t>
        </is>
      </c>
      <c r="D9" s="12" t="inlineStr">
        <is>
          <t>1.8</t>
        </is>
      </c>
      <c r="E9" s="12" t="inlineStr">
        <is>
          <t>การปรับปรุงนโยบายการกำกับการปฏิบัติตามกฎ ระเบียบและจัดทำนโยบาย IT Third Party Risk Management</t>
        </is>
      </c>
      <c r="F9" s="11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>
        <v>33.3</v>
      </c>
      <c r="Q9" s="13" t="n">
        <v>66.7</v>
      </c>
      <c r="R9" s="13" t="n">
        <v>100</v>
      </c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>
        <v>33.3</v>
      </c>
      <c r="AC9" s="14" t="n"/>
      <c r="AD9" s="14" t="n"/>
      <c r="AE9" s="15" t="inlineStr">
        <is>
          <t>ดำเนินการ การปรับปรุงนโยบายการ เป็นไปตามแผน (ถึง ต.ค.)</t>
        </is>
      </c>
      <c r="AF9" s="15" t="n"/>
      <c r="AG9" s="16" t="inlineStr">
        <is>
          <t>-</t>
        </is>
      </c>
      <c r="AH9" s="17" t="n">
        <v>2.08</v>
      </c>
    </row>
    <row r="10" ht="36" customHeight="1">
      <c r="A10" s="11" t="inlineStr">
        <is>
          <t>P_1.9</t>
        </is>
      </c>
      <c r="B10" s="11" t="inlineStr">
        <is>
          <t>1.</t>
        </is>
      </c>
      <c r="C10" s="11" t="inlineStr">
        <is>
          <t>1.9</t>
        </is>
      </c>
      <c r="D10" s="12" t="inlineStr">
        <is>
          <t>1.9</t>
        </is>
      </c>
      <c r="E10" s="12" t="inlineStr">
        <is>
          <t>การผลักดันให้มีหน่วยงานกลางกำกับและรวบรวมนโยบาย</t>
        </is>
      </c>
      <c r="F10" s="11" t="n"/>
      <c r="G10" s="13" t="n">
        <v>8.300000000000001</v>
      </c>
      <c r="H10" s="13" t="n">
        <v>16.7</v>
      </c>
      <c r="I10" s="13" t="n">
        <v>25</v>
      </c>
      <c r="J10" s="13" t="n">
        <v>33.3</v>
      </c>
      <c r="K10" s="13" t="n">
        <v>41.7</v>
      </c>
      <c r="L10" s="13" t="n">
        <v>50</v>
      </c>
      <c r="M10" s="13" t="n">
        <v>58.3</v>
      </c>
      <c r="N10" s="13" t="n">
        <v>66.7</v>
      </c>
      <c r="O10" s="13" t="n">
        <v>75</v>
      </c>
      <c r="P10" s="13" t="n">
        <v>83.3</v>
      </c>
      <c r="Q10" s="13" t="n">
        <v>91.7</v>
      </c>
      <c r="R10" s="13" t="n">
        <v>100</v>
      </c>
      <c r="S10" s="14" t="n">
        <v>8.300000000000001</v>
      </c>
      <c r="T10" s="14" t="n">
        <v>16.7</v>
      </c>
      <c r="U10" s="14" t="n">
        <v>25</v>
      </c>
      <c r="V10" s="14" t="n">
        <v>33.3</v>
      </c>
      <c r="W10" s="14" t="n">
        <v>41.7</v>
      </c>
      <c r="X10" s="14" t="n">
        <v>50</v>
      </c>
      <c r="Y10" s="14" t="n">
        <v>58.3</v>
      </c>
      <c r="Z10" s="14" t="n">
        <v>66.7</v>
      </c>
      <c r="AA10" s="14" t="n">
        <v>75</v>
      </c>
      <c r="AB10" s="14" t="n">
        <v>83.3</v>
      </c>
      <c r="AC10" s="14" t="n"/>
      <c r="AD10" s="14" t="n"/>
      <c r="AE10" s="15" t="inlineStr">
        <is>
          <t>ดำเนินการ การผลักดันให้มีหน่วย เป็นไปตามแผน (ถึง ต.ค.)</t>
        </is>
      </c>
      <c r="AF10" s="15" t="n"/>
      <c r="AG10" s="16" t="inlineStr">
        <is>
          <t>-</t>
        </is>
      </c>
      <c r="AH10" s="17" t="n">
        <v>2.08</v>
      </c>
    </row>
    <row r="11" ht="18" customHeight="1">
      <c r="A11" s="11" t="inlineStr">
        <is>
          <t>P_1.10</t>
        </is>
      </c>
      <c r="B11" s="11" t="inlineStr">
        <is>
          <t>1.</t>
        </is>
      </c>
      <c r="C11" s="11" t="inlineStr">
        <is>
          <t>1.10</t>
        </is>
      </c>
      <c r="D11" s="12" t="inlineStr">
        <is>
          <t>1.10</t>
        </is>
      </c>
      <c r="E11" s="12" t="inlineStr">
        <is>
          <t>การบูรณาการข้อมูลกระบวนงาน</t>
        </is>
      </c>
      <c r="F11" s="11" t="n"/>
      <c r="G11" s="13" t="n"/>
      <c r="H11" s="13" t="n"/>
      <c r="I11" s="13" t="n"/>
      <c r="J11" s="13" t="n">
        <v>16.7</v>
      </c>
      <c r="K11" s="13" t="n">
        <v>33.3</v>
      </c>
      <c r="L11" s="13" t="n">
        <v>50</v>
      </c>
      <c r="M11" s="13" t="n">
        <v>66.7</v>
      </c>
      <c r="N11" s="13" t="n">
        <v>83.3</v>
      </c>
      <c r="O11" s="13" t="n">
        <v>100</v>
      </c>
      <c r="P11" s="13" t="n">
        <v>100</v>
      </c>
      <c r="Q11" s="13" t="n">
        <v>100</v>
      </c>
      <c r="R11" s="13" t="n">
        <v>100</v>
      </c>
      <c r="S11" s="14" t="n"/>
      <c r="T11" s="14" t="n"/>
      <c r="U11" s="14" t="n"/>
      <c r="V11" s="14" t="n">
        <v>16.7</v>
      </c>
      <c r="W11" s="14" t="n">
        <v>33.3</v>
      </c>
      <c r="X11" s="14" t="n">
        <v>50</v>
      </c>
      <c r="Y11" s="14" t="n">
        <v>66.7</v>
      </c>
      <c r="Z11" s="14" t="n">
        <v>83.3</v>
      </c>
      <c r="AA11" s="14" t="n">
        <v>100</v>
      </c>
      <c r="AB11" s="14" t="n">
        <v>100</v>
      </c>
      <c r="AC11" s="14" t="n"/>
      <c r="AD11" s="14" t="n"/>
      <c r="AE11" s="15" t="inlineStr">
        <is>
          <t>ดำเนินการ การบูรณาการข้อมูลกระ เป็นไปตามแผน (ถึง ต.ค.)</t>
        </is>
      </c>
      <c r="AF11" s="15" t="n"/>
      <c r="AG11" s="16" t="inlineStr">
        <is>
          <t>-</t>
        </is>
      </c>
      <c r="AH11" s="17" t="n">
        <v>2.08</v>
      </c>
    </row>
    <row r="12" ht="18" customHeight="1">
      <c r="A12" s="11" t="inlineStr">
        <is>
          <t>P_1.11</t>
        </is>
      </c>
      <c r="B12" s="11" t="inlineStr">
        <is>
          <t>1.</t>
        </is>
      </c>
      <c r="C12" s="11" t="inlineStr">
        <is>
          <t>1.11</t>
        </is>
      </c>
      <c r="D12" s="12" t="inlineStr">
        <is>
          <t>1.11</t>
        </is>
      </c>
      <c r="E12" s="12" t="inlineStr">
        <is>
          <t>การปรับแนวทางการประเมิน CSA</t>
        </is>
      </c>
      <c r="F12" s="11" t="n"/>
      <c r="G12" s="13" t="n"/>
      <c r="H12" s="13" t="n"/>
      <c r="I12" s="13" t="n"/>
      <c r="J12" s="13" t="n"/>
      <c r="K12" s="13" t="n"/>
      <c r="L12" s="13" t="n"/>
      <c r="M12" s="13" t="n">
        <v>33.3</v>
      </c>
      <c r="N12" s="13" t="n">
        <v>66.7</v>
      </c>
      <c r="O12" s="13" t="n">
        <v>100</v>
      </c>
      <c r="P12" s="13" t="n">
        <v>100</v>
      </c>
      <c r="Q12" s="13" t="n">
        <v>100</v>
      </c>
      <c r="R12" s="13" t="n">
        <v>100</v>
      </c>
      <c r="S12" s="14" t="n"/>
      <c r="T12" s="14" t="n"/>
      <c r="U12" s="14" t="n"/>
      <c r="V12" s="14" t="n"/>
      <c r="W12" s="14" t="n"/>
      <c r="X12" s="14" t="n"/>
      <c r="Y12" s="14" t="n">
        <v>33.3</v>
      </c>
      <c r="Z12" s="14" t="n">
        <v>66.7</v>
      </c>
      <c r="AA12" s="14" t="n">
        <v>100</v>
      </c>
      <c r="AB12" s="14" t="n">
        <v>100</v>
      </c>
      <c r="AC12" s="14" t="n"/>
      <c r="AD12" s="14" t="n"/>
      <c r="AE12" s="15" t="inlineStr">
        <is>
          <t>ดำเนินการ การปรับแนวทางการประเ เป็นไปตามแผน (ถึง ต.ค.)</t>
        </is>
      </c>
      <c r="AF12" s="15" t="n"/>
      <c r="AG12" s="16" t="inlineStr">
        <is>
          <t>-</t>
        </is>
      </c>
      <c r="AH12" s="17" t="n">
        <v>2.08</v>
      </c>
    </row>
    <row r="13" ht="36" customHeight="1">
      <c r="A13" s="11" t="inlineStr">
        <is>
          <t>P_1.12</t>
        </is>
      </c>
      <c r="B13" s="11" t="inlineStr">
        <is>
          <t>1.</t>
        </is>
      </c>
      <c r="C13" s="11" t="inlineStr">
        <is>
          <t>1.12</t>
        </is>
      </c>
      <c r="D13" s="12" t="inlineStr">
        <is>
          <t>1.12</t>
        </is>
      </c>
      <c r="E13" s="12" t="inlineStr">
        <is>
          <t>การจัดทำแนวทาง/เอกสารในการรวบรวมข้อมูลเหตุการณ์ (Incident information)</t>
        </is>
      </c>
      <c r="F13" s="11" t="n"/>
      <c r="G13" s="13" t="n">
        <v>8.300000000000001</v>
      </c>
      <c r="H13" s="13" t="n">
        <v>16.7</v>
      </c>
      <c r="I13" s="13" t="n">
        <v>25</v>
      </c>
      <c r="J13" s="13" t="n">
        <v>33.3</v>
      </c>
      <c r="K13" s="13" t="n">
        <v>41.7</v>
      </c>
      <c r="L13" s="13" t="n">
        <v>50</v>
      </c>
      <c r="M13" s="13" t="n">
        <v>58.3</v>
      </c>
      <c r="N13" s="13" t="n">
        <v>66.7</v>
      </c>
      <c r="O13" s="13" t="n">
        <v>75</v>
      </c>
      <c r="P13" s="13" t="n">
        <v>83.3</v>
      </c>
      <c r="Q13" s="13" t="n">
        <v>91.7</v>
      </c>
      <c r="R13" s="13" t="n">
        <v>100</v>
      </c>
      <c r="S13" s="14" t="n">
        <v>8.300000000000001</v>
      </c>
      <c r="T13" s="14" t="n">
        <v>16.7</v>
      </c>
      <c r="U13" s="14" t="n">
        <v>25</v>
      </c>
      <c r="V13" s="14" t="n">
        <v>33.3</v>
      </c>
      <c r="W13" s="14" t="n">
        <v>41.7</v>
      </c>
      <c r="X13" s="14" t="n">
        <v>50</v>
      </c>
      <c r="Y13" s="14" t="n">
        <v>58.3</v>
      </c>
      <c r="Z13" s="14" t="n">
        <v>66.7</v>
      </c>
      <c r="AA13" s="14" t="n">
        <v>75</v>
      </c>
      <c r="AB13" s="14" t="n">
        <v>83.3</v>
      </c>
      <c r="AC13" s="14" t="n"/>
      <c r="AD13" s="14" t="n"/>
      <c r="AE13" s="15" t="inlineStr">
        <is>
          <t>ดำเนินการ การจัดทำแนวทาง/เอกสา เป็นไปตามแผน (ถึง ต.ค.)</t>
        </is>
      </c>
      <c r="AF13" s="15" t="n"/>
      <c r="AG13" s="16" t="inlineStr">
        <is>
          <t>-</t>
        </is>
      </c>
      <c r="AH13" s="17" t="n">
        <v>2.08</v>
      </c>
    </row>
    <row r="14" ht="36" customHeight="1">
      <c r="A14" s="11" t="inlineStr">
        <is>
          <t>P_1.13</t>
        </is>
      </c>
      <c r="B14" s="11" t="inlineStr">
        <is>
          <t>1.</t>
        </is>
      </c>
      <c r="C14" s="11" t="inlineStr">
        <is>
          <t>1.13</t>
        </is>
      </c>
      <c r="D14" s="12" t="inlineStr">
        <is>
          <t>1.13</t>
        </is>
      </c>
      <c r="E14" s="12" t="inlineStr">
        <is>
          <t>การพัฒนาเครื่องมือติดตามประสิทธิภาพการควบคุมอย่างต่อเนื่อง (Continuous Monitoring)</t>
        </is>
      </c>
      <c r="F14" s="11" t="n"/>
      <c r="G14" s="13" t="n">
        <v>8.300000000000001</v>
      </c>
      <c r="H14" s="13" t="n">
        <v>16.7</v>
      </c>
      <c r="I14" s="13" t="n">
        <v>25</v>
      </c>
      <c r="J14" s="13" t="n">
        <v>33.3</v>
      </c>
      <c r="K14" s="13" t="n">
        <v>41.7</v>
      </c>
      <c r="L14" s="13" t="n">
        <v>50</v>
      </c>
      <c r="M14" s="13" t="n">
        <v>58.3</v>
      </c>
      <c r="N14" s="13" t="n">
        <v>66.7</v>
      </c>
      <c r="O14" s="13" t="n">
        <v>75</v>
      </c>
      <c r="P14" s="13" t="n">
        <v>83.3</v>
      </c>
      <c r="Q14" s="13" t="n">
        <v>91.7</v>
      </c>
      <c r="R14" s="13" t="n">
        <v>100</v>
      </c>
      <c r="S14" s="14" t="n">
        <v>8.300000000000001</v>
      </c>
      <c r="T14" s="14" t="n">
        <v>16.7</v>
      </c>
      <c r="U14" s="14" t="n">
        <v>25</v>
      </c>
      <c r="V14" s="14" t="n">
        <v>33.3</v>
      </c>
      <c r="W14" s="14" t="n">
        <v>41.7</v>
      </c>
      <c r="X14" s="14" t="n">
        <v>50</v>
      </c>
      <c r="Y14" s="14" t="n">
        <v>58.3</v>
      </c>
      <c r="Z14" s="14" t="n">
        <v>66.7</v>
      </c>
      <c r="AA14" s="14" t="n">
        <v>75</v>
      </c>
      <c r="AB14" s="14" t="n">
        <v>83.3</v>
      </c>
      <c r="AC14" s="14" t="n"/>
      <c r="AD14" s="14" t="n"/>
      <c r="AE14" s="15" t="inlineStr">
        <is>
          <t>ดำเนินการ การพัฒนาเครื่องมือติ เป็นไปตามแผน (ถึง ต.ค.)</t>
        </is>
      </c>
      <c r="AF14" s="15" t="n"/>
      <c r="AG14" s="16" t="inlineStr">
        <is>
          <t>-</t>
        </is>
      </c>
      <c r="AH14" s="17" t="n">
        <v>2.08</v>
      </c>
    </row>
    <row r="15" ht="54" customHeight="1">
      <c r="A15" s="11" t="inlineStr">
        <is>
          <t>P_1.14</t>
        </is>
      </c>
      <c r="B15" s="11" t="inlineStr">
        <is>
          <t>1.</t>
        </is>
      </c>
      <c r="C15" s="11" t="inlineStr">
        <is>
          <t>1.14</t>
        </is>
      </c>
      <c r="D15" s="12" t="inlineStr">
        <is>
          <t>1.14</t>
        </is>
      </c>
      <c r="E15" s="12" t="inlineStr">
        <is>
          <t>การพัฒนาทะเบียนกฎหมาย เนื้อหาข้อบังคับที่องค์กรต้องปฏิบัติตาม (Citation) และเชื่อมโยงกับการควบคุมและนโยบาย</t>
        </is>
      </c>
      <c r="F15" s="11" t="n"/>
      <c r="G15" s="13" t="n">
        <v>8.300000000000001</v>
      </c>
      <c r="H15" s="13" t="n">
        <v>16.7</v>
      </c>
      <c r="I15" s="13" t="n">
        <v>25</v>
      </c>
      <c r="J15" s="13" t="n">
        <v>33.3</v>
      </c>
      <c r="K15" s="13" t="n">
        <v>41.7</v>
      </c>
      <c r="L15" s="13" t="n">
        <v>50</v>
      </c>
      <c r="M15" s="13" t="n">
        <v>58.3</v>
      </c>
      <c r="N15" s="13" t="n">
        <v>66.7</v>
      </c>
      <c r="O15" s="13" t="n">
        <v>75</v>
      </c>
      <c r="P15" s="13" t="n">
        <v>83.3</v>
      </c>
      <c r="Q15" s="13" t="n">
        <v>91.7</v>
      </c>
      <c r="R15" s="13" t="n">
        <v>100</v>
      </c>
      <c r="S15" s="14" t="n">
        <v>8.300000000000001</v>
      </c>
      <c r="T15" s="14" t="n">
        <v>16.7</v>
      </c>
      <c r="U15" s="14" t="n">
        <v>25</v>
      </c>
      <c r="V15" s="14" t="n">
        <v>33.3</v>
      </c>
      <c r="W15" s="14" t="n">
        <v>41.7</v>
      </c>
      <c r="X15" s="14" t="n">
        <v>50</v>
      </c>
      <c r="Y15" s="14" t="n">
        <v>58.3</v>
      </c>
      <c r="Z15" s="14" t="n">
        <v>66.7</v>
      </c>
      <c r="AA15" s="14" t="n">
        <v>75</v>
      </c>
      <c r="AB15" s="14" t="n">
        <v>83.3</v>
      </c>
      <c r="AC15" s="14" t="n"/>
      <c r="AD15" s="14" t="n"/>
      <c r="AE15" s="15" t="inlineStr">
        <is>
          <t>ดำเนินการ การพัฒนาทะเบียนกฎหมา เป็นไปตามแผน (ถึง ต.ค.)</t>
        </is>
      </c>
      <c r="AF15" s="15" t="n"/>
      <c r="AG15" s="16" t="inlineStr">
        <is>
          <t>-</t>
        </is>
      </c>
      <c r="AH15" s="17" t="n">
        <v>2.08</v>
      </c>
    </row>
    <row r="16" ht="36" customHeight="1">
      <c r="A16" s="11" t="inlineStr">
        <is>
          <t>M_2.1.1</t>
        </is>
      </c>
      <c r="B16" s="11" t="inlineStr">
        <is>
          <t>2.</t>
        </is>
      </c>
      <c r="C16" s="11" t="inlineStr">
        <is>
          <t>2.1</t>
        </is>
      </c>
      <c r="D16" s="12" t="inlineStr">
        <is>
          <t>2.1.1</t>
        </is>
      </c>
      <c r="E16" s="12" t="inlineStr">
        <is>
          <t>ทบทวนนโยบาย GRC</t>
        </is>
      </c>
      <c r="F16" s="11" t="inlineStr">
        <is>
          <t>งานบริหารความเสี่ยง / พี่หนึ่ง</t>
        </is>
      </c>
      <c r="G16" s="13" t="n"/>
      <c r="H16" s="13" t="n"/>
      <c r="I16" s="13" t="n"/>
      <c r="J16" s="13" t="n"/>
      <c r="K16" s="13" t="n"/>
      <c r="L16" s="13" t="n"/>
      <c r="M16" s="13" t="n">
        <v>10</v>
      </c>
      <c r="N16" s="13" t="n">
        <v>30</v>
      </c>
      <c r="O16" s="13" t="n">
        <v>40</v>
      </c>
      <c r="P16" s="13" t="n">
        <v>50</v>
      </c>
      <c r="Q16" s="13" t="n">
        <v>70</v>
      </c>
      <c r="R16" s="13" t="n">
        <v>100</v>
      </c>
      <c r="S16" s="14" t="n"/>
      <c r="T16" s="14" t="n"/>
      <c r="U16" s="14" t="n"/>
      <c r="V16" s="14" t="n"/>
      <c r="W16" s="14" t="n"/>
      <c r="X16" s="14" t="n"/>
      <c r="Y16" s="14" t="n">
        <v>10</v>
      </c>
      <c r="Z16" s="14" t="n">
        <v>30</v>
      </c>
      <c r="AA16" s="14" t="n">
        <v>40</v>
      </c>
      <c r="AB16" s="14" t="n">
        <v>50</v>
      </c>
      <c r="AC16" s="14" t="n"/>
      <c r="AD16" s="14" t="n"/>
      <c r="AE16" s="15" t="inlineStr">
        <is>
          <t>ดำเนินการ ทบทวนนโยบาย GRC เป็นไปตามแผน (ถึง ต.ค.)</t>
        </is>
      </c>
      <c r="AF16" s="15" t="n"/>
      <c r="AG16" s="16" t="inlineStr">
        <is>
          <t>พี่หนึ่ง</t>
        </is>
      </c>
      <c r="AH16" s="17" t="n">
        <v>2.08</v>
      </c>
    </row>
    <row r="17" ht="36" customHeight="1">
      <c r="A17" s="11" t="inlineStr">
        <is>
          <t>M_2.1.2</t>
        </is>
      </c>
      <c r="B17" s="11" t="inlineStr">
        <is>
          <t>2.</t>
        </is>
      </c>
      <c r="C17" s="11" t="inlineStr">
        <is>
          <t>2.1</t>
        </is>
      </c>
      <c r="D17" s="12" t="inlineStr">
        <is>
          <t>2.1.2</t>
        </is>
      </c>
      <c r="E17" s="12" t="inlineStr">
        <is>
          <t>ทบทวนโครงสร้างและบทบาทหน้าที่ด้านการบริหารความเสี่ยง</t>
        </is>
      </c>
      <c r="F17" s="11" t="inlineStr">
        <is>
          <t>งานบริหารความเสี่ยง / พี่หนึ่ง</t>
        </is>
      </c>
      <c r="G17" s="13" t="n"/>
      <c r="H17" s="13" t="n"/>
      <c r="I17" s="13" t="n"/>
      <c r="J17" s="13" t="n"/>
      <c r="K17" s="13" t="n">
        <v>12.5</v>
      </c>
      <c r="L17" s="13" t="n">
        <v>25</v>
      </c>
      <c r="M17" s="13" t="n">
        <v>37.5</v>
      </c>
      <c r="N17" s="13" t="n">
        <v>50</v>
      </c>
      <c r="O17" s="13" t="n">
        <v>62.5</v>
      </c>
      <c r="P17" s="13" t="n">
        <v>75</v>
      </c>
      <c r="Q17" s="13" t="n">
        <v>87.5</v>
      </c>
      <c r="R17" s="13" t="n">
        <v>100</v>
      </c>
      <c r="S17" s="14" t="n"/>
      <c r="T17" s="14" t="n"/>
      <c r="U17" s="14" t="n"/>
      <c r="V17" s="14" t="n"/>
      <c r="W17" s="14" t="n">
        <v>12.5</v>
      </c>
      <c r="X17" s="14" t="n">
        <v>25</v>
      </c>
      <c r="Y17" s="14" t="n">
        <v>37.5</v>
      </c>
      <c r="Z17" s="14" t="n">
        <v>50</v>
      </c>
      <c r="AA17" s="14" t="n">
        <v>62.5</v>
      </c>
      <c r="AB17" s="14" t="n">
        <v>75</v>
      </c>
      <c r="AC17" s="14" t="n"/>
      <c r="AD17" s="14" t="n"/>
      <c r="AE17" s="15" t="inlineStr">
        <is>
          <t>ดำเนินการ ทบทวนโครงสร้างและบทบ เป็นไปตามแผน (ถึง ต.ค.)</t>
        </is>
      </c>
      <c r="AF17" s="15" t="n"/>
      <c r="AG17" s="16" t="inlineStr">
        <is>
          <t>พี่หนึ่ง</t>
        </is>
      </c>
      <c r="AH17" s="17" t="n">
        <v>2.08</v>
      </c>
    </row>
    <row r="18" ht="36" customHeight="1">
      <c r="A18" s="11" t="inlineStr">
        <is>
          <t>M_2.1.3</t>
        </is>
      </c>
      <c r="B18" s="11" t="inlineStr">
        <is>
          <t>2.</t>
        </is>
      </c>
      <c r="C18" s="11" t="inlineStr">
        <is>
          <t>2.1</t>
        </is>
      </c>
      <c r="D18" s="12" t="inlineStr">
        <is>
          <t>2.1.3</t>
        </is>
      </c>
      <c r="E18" s="12" t="inlineStr">
        <is>
          <t>ทบทวนกรอบการดำเนินงานและคู่มือการบริหารความเสี่ยง</t>
        </is>
      </c>
      <c r="F18" s="11" t="inlineStr">
        <is>
          <t>งานบริหารความเสี่ยง / พี่หนึ่ง</t>
        </is>
      </c>
      <c r="G18" s="13" t="n"/>
      <c r="H18" s="13" t="n"/>
      <c r="I18" s="13" t="n"/>
      <c r="J18" s="13" t="n"/>
      <c r="K18" s="13" t="n"/>
      <c r="L18" s="13" t="n">
        <v>12.5</v>
      </c>
      <c r="M18" s="13" t="n">
        <v>25</v>
      </c>
      <c r="N18" s="13" t="n">
        <v>50</v>
      </c>
      <c r="O18" s="13" t="n">
        <v>62.5</v>
      </c>
      <c r="P18" s="13" t="n">
        <v>75</v>
      </c>
      <c r="Q18" s="13" t="n">
        <v>87.5</v>
      </c>
      <c r="R18" s="13" t="n">
        <v>100</v>
      </c>
      <c r="S18" s="14" t="n"/>
      <c r="T18" s="14" t="n"/>
      <c r="U18" s="14" t="n"/>
      <c r="V18" s="14" t="n"/>
      <c r="W18" s="14" t="n"/>
      <c r="X18" s="14" t="n">
        <v>12.5</v>
      </c>
      <c r="Y18" s="14" t="n">
        <v>25</v>
      </c>
      <c r="Z18" s="14" t="n">
        <v>50</v>
      </c>
      <c r="AA18" s="14" t="n">
        <v>62.5</v>
      </c>
      <c r="AB18" s="14" t="n">
        <v>75</v>
      </c>
      <c r="AC18" s="14" t="n"/>
      <c r="AD18" s="14" t="n"/>
      <c r="AE18" s="15" t="inlineStr">
        <is>
          <t>ดำเนินการ ทบทวนกรอบการดำเนินงา เป็นไปตามแผน (ถึง ต.ค.)</t>
        </is>
      </c>
      <c r="AF18" s="15" t="n"/>
      <c r="AG18" s="16" t="inlineStr">
        <is>
          <t>พี่หนึ่ง</t>
        </is>
      </c>
      <c r="AH18" s="17" t="n">
        <v>2.08</v>
      </c>
    </row>
    <row r="19" ht="54" customHeight="1">
      <c r="A19" s="11" t="inlineStr">
        <is>
          <t>M_2.2.1</t>
        </is>
      </c>
      <c r="B19" s="11" t="inlineStr">
        <is>
          <t>2.</t>
        </is>
      </c>
      <c r="C19" s="11" t="inlineStr">
        <is>
          <t>2.2</t>
        </is>
      </c>
      <c r="D19" s="12" t="inlineStr">
        <is>
          <t>2.2.1</t>
        </is>
      </c>
      <c r="E19" s="12" t="inlineStr">
        <is>
          <t>ทบทวน Competency / พฤติกรรมพึงประสงค์ด้านการบริหารความเสี่ยง กับผู้บริหาร และพนักงานที่เกี่ยวข้อง</t>
        </is>
      </c>
      <c r="F19" s="11" t="inlineStr">
        <is>
          <t>งานบริหารความเสี่ยง / แบม</t>
        </is>
      </c>
      <c r="G19" s="13" t="n">
        <v>16.7</v>
      </c>
      <c r="H19" s="13" t="n">
        <v>33.3</v>
      </c>
      <c r="I19" s="13" t="n">
        <v>50</v>
      </c>
      <c r="J19" s="13" t="n">
        <v>66.7</v>
      </c>
      <c r="K19" s="13" t="n">
        <v>83.3</v>
      </c>
      <c r="L19" s="13" t="n">
        <v>100</v>
      </c>
      <c r="M19" s="13" t="n">
        <v>100</v>
      </c>
      <c r="N19" s="13" t="n">
        <v>100</v>
      </c>
      <c r="O19" s="13" t="n">
        <v>100</v>
      </c>
      <c r="P19" s="13" t="n">
        <v>100</v>
      </c>
      <c r="Q19" s="13" t="n">
        <v>100</v>
      </c>
      <c r="R19" s="13" t="n">
        <v>100</v>
      </c>
      <c r="S19" s="14" t="n">
        <v>16.7</v>
      </c>
      <c r="T19" s="14" t="n">
        <v>33.3</v>
      </c>
      <c r="U19" s="14" t="n">
        <v>50</v>
      </c>
      <c r="V19" s="14" t="n">
        <v>66.7</v>
      </c>
      <c r="W19" s="14" t="n">
        <v>83.3</v>
      </c>
      <c r="X19" s="14" t="n">
        <v>100</v>
      </c>
      <c r="Y19" s="14" t="n">
        <v>100</v>
      </c>
      <c r="Z19" s="14" t="n">
        <v>100</v>
      </c>
      <c r="AA19" s="14" t="n">
        <v>100</v>
      </c>
      <c r="AB19" s="14" t="n">
        <v>100</v>
      </c>
      <c r="AC19" s="14" t="n"/>
      <c r="AD19" s="14" t="n"/>
      <c r="AE19" s="15" t="inlineStr">
        <is>
          <t>ดำเนินการ ทบทวน Competency / พ เป็นไปตามแผน (ถึง ต.ค.)</t>
        </is>
      </c>
      <c r="AF19" s="15" t="n"/>
      <c r="AG19" s="16" t="inlineStr">
        <is>
          <t>แบม</t>
        </is>
      </c>
      <c r="AH19" s="17" t="n">
        <v>2.08</v>
      </c>
    </row>
    <row r="20" ht="36" customHeight="1">
      <c r="A20" s="11" t="inlineStr">
        <is>
          <t>M_2.2.2</t>
        </is>
      </c>
      <c r="B20" s="11" t="inlineStr">
        <is>
          <t>2.</t>
        </is>
      </c>
      <c r="C20" s="11" t="inlineStr">
        <is>
          <t>2.2</t>
        </is>
      </c>
      <c r="D20" s="12" t="inlineStr">
        <is>
          <t>2.2.2</t>
        </is>
      </c>
      <c r="E20" s="12" t="inlineStr">
        <is>
          <t>อบรมและพัฒนาพนักงานตาม Competency ที่กำหนด</t>
        </is>
      </c>
      <c r="F20" s="11" t="inlineStr">
        <is>
          <t>งานบริหารความเสี่ยง / แบม</t>
        </is>
      </c>
      <c r="G20" s="13" t="n">
        <v>3.8</v>
      </c>
      <c r="H20" s="13" t="n">
        <v>7.7</v>
      </c>
      <c r="I20" s="13" t="n">
        <v>11.5</v>
      </c>
      <c r="J20" s="13" t="n">
        <v>19.2</v>
      </c>
      <c r="K20" s="13" t="n">
        <v>26.9</v>
      </c>
      <c r="L20" s="13" t="n">
        <v>34.6</v>
      </c>
      <c r="M20" s="13" t="n">
        <v>42.3</v>
      </c>
      <c r="N20" s="13" t="n">
        <v>50</v>
      </c>
      <c r="O20" s="13" t="n">
        <v>61.5</v>
      </c>
      <c r="P20" s="13" t="n">
        <v>76.90000000000001</v>
      </c>
      <c r="Q20" s="13" t="n">
        <v>88.5</v>
      </c>
      <c r="R20" s="13" t="n">
        <v>100</v>
      </c>
      <c r="S20" s="14" t="n">
        <v>3.8</v>
      </c>
      <c r="T20" s="14" t="n">
        <v>7.7</v>
      </c>
      <c r="U20" s="14" t="n">
        <v>11.5</v>
      </c>
      <c r="V20" s="14" t="n">
        <v>19.2</v>
      </c>
      <c r="W20" s="14" t="n">
        <v>26.9</v>
      </c>
      <c r="X20" s="14" t="n">
        <v>34.6</v>
      </c>
      <c r="Y20" s="14" t="n">
        <v>42.3</v>
      </c>
      <c r="Z20" s="14" t="n">
        <v>50</v>
      </c>
      <c r="AA20" s="14" t="n">
        <v>61.5</v>
      </c>
      <c r="AB20" s="14" t="n">
        <v>76.90000000000001</v>
      </c>
      <c r="AC20" s="14" t="n"/>
      <c r="AD20" s="14" t="n"/>
      <c r="AE20" s="15" t="inlineStr">
        <is>
          <t>ดำเนินการ อบรมและพัฒนาพนักงานต เป็นไปตามแผน (ถึง ต.ค.)</t>
        </is>
      </c>
      <c r="AF20" s="15" t="n"/>
      <c r="AG20" s="16" t="inlineStr">
        <is>
          <t>แบม</t>
        </is>
      </c>
      <c r="AH20" s="17" t="n">
        <v>2.08</v>
      </c>
    </row>
    <row r="21" ht="36" customHeight="1">
      <c r="A21" s="11" t="inlineStr">
        <is>
          <t>M_2.2.3</t>
        </is>
      </c>
      <c r="B21" s="11" t="inlineStr">
        <is>
          <t>2.</t>
        </is>
      </c>
      <c r="C21" s="11" t="inlineStr">
        <is>
          <t>2.2</t>
        </is>
      </c>
      <c r="D21" s="12" t="inlineStr">
        <is>
          <t>2.2.3</t>
        </is>
      </c>
      <c r="E21" s="12" t="inlineStr">
        <is>
          <t>สื่อสารสร้างความตระหนักด้านการบริหารความเสี่ยง</t>
        </is>
      </c>
      <c r="F21" s="11" t="inlineStr">
        <is>
          <t>งานบริหารความเสี่ยง / แบม</t>
        </is>
      </c>
      <c r="G21" s="13" t="n">
        <v>11.1</v>
      </c>
      <c r="H21" s="13" t="n">
        <v>33.3</v>
      </c>
      <c r="I21" s="13" t="n">
        <v>44.4</v>
      </c>
      <c r="J21" s="13" t="n">
        <v>55.6</v>
      </c>
      <c r="K21" s="13" t="n">
        <v>61.1</v>
      </c>
      <c r="L21" s="13" t="n">
        <v>66.7</v>
      </c>
      <c r="M21" s="13" t="n">
        <v>72.2</v>
      </c>
      <c r="N21" s="13" t="n">
        <v>77.8</v>
      </c>
      <c r="O21" s="13" t="n">
        <v>83.3</v>
      </c>
      <c r="P21" s="13" t="n">
        <v>88.90000000000001</v>
      </c>
      <c r="Q21" s="13" t="n">
        <v>94.40000000000001</v>
      </c>
      <c r="R21" s="13" t="n">
        <v>100</v>
      </c>
      <c r="S21" s="14" t="n">
        <v>11.1</v>
      </c>
      <c r="T21" s="14" t="n">
        <v>33.3</v>
      </c>
      <c r="U21" s="14" t="n">
        <v>44.4</v>
      </c>
      <c r="V21" s="14" t="n">
        <v>55.6</v>
      </c>
      <c r="W21" s="14" t="n">
        <v>61.1</v>
      </c>
      <c r="X21" s="14" t="n">
        <v>66.7</v>
      </c>
      <c r="Y21" s="14" t="n">
        <v>72.2</v>
      </c>
      <c r="Z21" s="14" t="n">
        <v>77.8</v>
      </c>
      <c r="AA21" s="14" t="n">
        <v>83.3</v>
      </c>
      <c r="AB21" s="14" t="n">
        <v>88.90000000000001</v>
      </c>
      <c r="AC21" s="14" t="n"/>
      <c r="AD21" s="14" t="n"/>
      <c r="AE21" s="15" t="inlineStr">
        <is>
          <t>ดำเนินการ สื่อสารสร้างความตระห เป็นไปตามแผน (ถึง ต.ค.)</t>
        </is>
      </c>
      <c r="AF21" s="15" t="n"/>
      <c r="AG21" s="16" t="inlineStr">
        <is>
          <t>แบม</t>
        </is>
      </c>
      <c r="AH21" s="17" t="n">
        <v>2.08</v>
      </c>
    </row>
    <row r="22" ht="36" customHeight="1">
      <c r="A22" s="11" t="inlineStr">
        <is>
          <t>M_2.2.4</t>
        </is>
      </c>
      <c r="B22" s="11" t="inlineStr">
        <is>
          <t>2.</t>
        </is>
      </c>
      <c r="C22" s="11" t="inlineStr">
        <is>
          <t>2.2</t>
        </is>
      </c>
      <c r="D22" s="12" t="inlineStr">
        <is>
          <t>2.2.4</t>
        </is>
      </c>
      <c r="E22" s="12" t="inlineStr">
        <is>
          <t>สำรวจความตระหนักและทัศนคติเกี่ยวกับการบริหารความเสี่ยง</t>
        </is>
      </c>
      <c r="F22" s="11" t="inlineStr">
        <is>
          <t>งานบริหารความเสี่ยง / แบม</t>
        </is>
      </c>
      <c r="G22" s="13" t="n"/>
      <c r="H22" s="13" t="n"/>
      <c r="I22" s="13" t="n"/>
      <c r="J22" s="13" t="n"/>
      <c r="K22" s="13" t="n"/>
      <c r="L22" s="13" t="n"/>
      <c r="M22" s="13" t="n">
        <v>14.3</v>
      </c>
      <c r="N22" s="13" t="n">
        <v>28.6</v>
      </c>
      <c r="O22" s="13" t="n">
        <v>57.1</v>
      </c>
      <c r="P22" s="13" t="n">
        <v>71.40000000000001</v>
      </c>
      <c r="Q22" s="13" t="n">
        <v>85.7</v>
      </c>
      <c r="R22" s="13" t="n">
        <v>100</v>
      </c>
      <c r="S22" s="14" t="n"/>
      <c r="T22" s="14" t="n"/>
      <c r="U22" s="14" t="n"/>
      <c r="V22" s="14" t="n"/>
      <c r="W22" s="14" t="n"/>
      <c r="X22" s="14" t="n"/>
      <c r="Y22" s="14" t="n">
        <v>14.3</v>
      </c>
      <c r="Z22" s="14" t="n">
        <v>28.6</v>
      </c>
      <c r="AA22" s="14" t="n">
        <v>57.1</v>
      </c>
      <c r="AB22" s="14" t="n">
        <v>71.40000000000001</v>
      </c>
      <c r="AC22" s="14" t="n"/>
      <c r="AD22" s="14" t="n"/>
      <c r="AE22" s="15" t="inlineStr">
        <is>
          <t>ดำเนินการ สำรวจความตระหนักและท เป็นไปตามแผน (ถึง ต.ค.)</t>
        </is>
      </c>
      <c r="AF22" s="15" t="n"/>
      <c r="AG22" s="16" t="inlineStr">
        <is>
          <t>แบม</t>
        </is>
      </c>
      <c r="AH22" s="17" t="n">
        <v>2.08</v>
      </c>
    </row>
    <row r="23" ht="54" customHeight="1">
      <c r="A23" s="11" t="inlineStr">
        <is>
          <t>M_2.2.5</t>
        </is>
      </c>
      <c r="B23" s="11" t="inlineStr">
        <is>
          <t>2.</t>
        </is>
      </c>
      <c r="C23" s="11" t="inlineStr">
        <is>
          <t>2.2</t>
        </is>
      </c>
      <c r="D23" s="12" t="inlineStr">
        <is>
          <t>2.2.5</t>
        </is>
      </c>
      <c r="E23" s="12" t="inlineStr">
        <is>
          <t>ทบทวนการจัดทำการเชื่อมโยง KPI กับผลการดำเนินงานด้านการบริหารความเสี่ยงของแต่ละสายงาน</t>
        </is>
      </c>
      <c r="F23" s="11" t="inlineStr">
        <is>
          <t>งานบริหารความเสี่ยง / แบม</t>
        </is>
      </c>
      <c r="G23" s="13" t="n">
        <v>12.5</v>
      </c>
      <c r="H23" s="13" t="n">
        <v>37.5</v>
      </c>
      <c r="I23" s="13" t="n">
        <v>50</v>
      </c>
      <c r="J23" s="13" t="n">
        <v>75</v>
      </c>
      <c r="K23" s="13" t="n">
        <v>100</v>
      </c>
      <c r="L23" s="13" t="n">
        <v>100</v>
      </c>
      <c r="M23" s="13" t="n">
        <v>100</v>
      </c>
      <c r="N23" s="13" t="n">
        <v>100</v>
      </c>
      <c r="O23" s="13" t="n">
        <v>100</v>
      </c>
      <c r="P23" s="13" t="n">
        <v>100</v>
      </c>
      <c r="Q23" s="13" t="n">
        <v>100</v>
      </c>
      <c r="R23" s="13" t="n">
        <v>100</v>
      </c>
      <c r="S23" s="14" t="n">
        <v>12.5</v>
      </c>
      <c r="T23" s="14" t="n">
        <v>37.5</v>
      </c>
      <c r="U23" s="14" t="n">
        <v>50</v>
      </c>
      <c r="V23" s="14" t="n">
        <v>75</v>
      </c>
      <c r="W23" s="14" t="n">
        <v>100</v>
      </c>
      <c r="X23" s="14" t="n">
        <v>100</v>
      </c>
      <c r="Y23" s="14" t="n">
        <v>100</v>
      </c>
      <c r="Z23" s="14" t="n">
        <v>100</v>
      </c>
      <c r="AA23" s="14" t="n">
        <v>100</v>
      </c>
      <c r="AB23" s="14" t="n">
        <v>100</v>
      </c>
      <c r="AC23" s="14" t="n"/>
      <c r="AD23" s="14" t="n"/>
      <c r="AE23" s="15" t="inlineStr">
        <is>
          <t>ดำเนินการ ทบทวนการจัดทำการเชื่ เป็นไปตามแผน (ถึง ต.ค.)</t>
        </is>
      </c>
      <c r="AF23" s="15" t="n"/>
      <c r="AG23" s="16" t="inlineStr">
        <is>
          <t>แบม</t>
        </is>
      </c>
      <c r="AH23" s="17" t="n">
        <v>2.08</v>
      </c>
    </row>
    <row r="24" ht="54" customHeight="1">
      <c r="A24" s="11" t="inlineStr">
        <is>
          <t>M_2.2.6</t>
        </is>
      </c>
      <c r="B24" s="11" t="inlineStr">
        <is>
          <t>2.</t>
        </is>
      </c>
      <c r="C24" s="11" t="inlineStr">
        <is>
          <t>2.2</t>
        </is>
      </c>
      <c r="D24" s="12" t="inlineStr">
        <is>
          <t>2.2.6</t>
        </is>
      </c>
      <c r="E24" s="12" t="inlineStr">
        <is>
          <t>ดำเนินการตามโครงการ MEA GRC Award เพื่อบูรณาการการบริหารความเสี่ยงกับผลตอบแทน/แรงจูงใจ</t>
        </is>
      </c>
      <c r="F24" s="11" t="inlineStr">
        <is>
          <t>เจ้นท์ / แบม</t>
        </is>
      </c>
      <c r="G24" s="13" t="n">
        <v>5.9</v>
      </c>
      <c r="H24" s="13" t="n">
        <v>11.8</v>
      </c>
      <c r="I24" s="13" t="n">
        <v>23.5</v>
      </c>
      <c r="J24" s="13" t="n">
        <v>35.3</v>
      </c>
      <c r="K24" s="13" t="n">
        <v>41.2</v>
      </c>
      <c r="L24" s="13" t="n">
        <v>47.1</v>
      </c>
      <c r="M24" s="13" t="n">
        <v>52.9</v>
      </c>
      <c r="N24" s="13" t="n">
        <v>58.8</v>
      </c>
      <c r="O24" s="13" t="n">
        <v>64.7</v>
      </c>
      <c r="P24" s="13" t="n">
        <v>76.5</v>
      </c>
      <c r="Q24" s="13" t="n">
        <v>88.2</v>
      </c>
      <c r="R24" s="13" t="n">
        <v>100</v>
      </c>
      <c r="S24" s="14" t="n">
        <v>5.9</v>
      </c>
      <c r="T24" s="14" t="n">
        <v>11.8</v>
      </c>
      <c r="U24" s="14" t="n">
        <v>23.5</v>
      </c>
      <c r="V24" s="14" t="n">
        <v>35.3</v>
      </c>
      <c r="W24" s="14" t="n">
        <v>41.2</v>
      </c>
      <c r="X24" s="14" t="n">
        <v>47.1</v>
      </c>
      <c r="Y24" s="14" t="n">
        <v>52.9</v>
      </c>
      <c r="Z24" s="14" t="n">
        <v>58.8</v>
      </c>
      <c r="AA24" s="14" t="n">
        <v>64.7</v>
      </c>
      <c r="AB24" s="14" t="n">
        <v>76.5</v>
      </c>
      <c r="AC24" s="14" t="n"/>
      <c r="AD24" s="14" t="n"/>
      <c r="AE24" s="15" t="inlineStr">
        <is>
          <t>ดำเนินการ ดำเนินการตามโครงการ  เป็นไปตามแผน (ถึง ต.ค.)</t>
        </is>
      </c>
      <c r="AF24" s="15" t="n"/>
      <c r="AG24" s="16" t="inlineStr">
        <is>
          <t>แบม</t>
        </is>
      </c>
      <c r="AH24" s="17" t="n">
        <v>2.08</v>
      </c>
    </row>
    <row r="25" ht="36" customHeight="1">
      <c r="A25" s="11" t="inlineStr">
        <is>
          <t>M_2.3.1</t>
        </is>
      </c>
      <c r="B25" s="11" t="inlineStr">
        <is>
          <t>2.</t>
        </is>
      </c>
      <c r="C25" s="11" t="inlineStr">
        <is>
          <t>2.3</t>
        </is>
      </c>
      <c r="D25" s="12" t="inlineStr">
        <is>
          <t>2.3.1</t>
        </is>
      </c>
      <c r="E25" s="12" t="inlineStr">
        <is>
          <t>ทบทวนหลักการกำหนด RA/RT และ RA Statement พร้อมสื่อสารให้แก่ผู้มีส่วนได้ส่วนเสีย</t>
        </is>
      </c>
      <c r="F25" s="11" t="inlineStr">
        <is>
          <t>งานบริหารความเสี่ยง / เป็ด</t>
        </is>
      </c>
      <c r="G25" s="13" t="n">
        <v>6.7</v>
      </c>
      <c r="H25" s="13" t="n">
        <v>13.3</v>
      </c>
      <c r="I25" s="13" t="n">
        <v>26.7</v>
      </c>
      <c r="J25" s="13" t="n">
        <v>46.7</v>
      </c>
      <c r="K25" s="13" t="n">
        <v>66.7</v>
      </c>
      <c r="L25" s="13" t="n">
        <v>86.7</v>
      </c>
      <c r="M25" s="13" t="n">
        <v>100</v>
      </c>
      <c r="N25" s="13" t="n">
        <v>100</v>
      </c>
      <c r="O25" s="13" t="n">
        <v>100</v>
      </c>
      <c r="P25" s="13" t="n">
        <v>100</v>
      </c>
      <c r="Q25" s="13" t="n">
        <v>100</v>
      </c>
      <c r="R25" s="13" t="n">
        <v>100</v>
      </c>
      <c r="S25" s="14" t="n">
        <v>6.7</v>
      </c>
      <c r="T25" s="14" t="n">
        <v>13.3</v>
      </c>
      <c r="U25" s="14" t="n">
        <v>26.7</v>
      </c>
      <c r="V25" s="14" t="n">
        <v>46.7</v>
      </c>
      <c r="W25" s="14" t="n">
        <v>66.7</v>
      </c>
      <c r="X25" s="14" t="n">
        <v>86.7</v>
      </c>
      <c r="Y25" s="14" t="n">
        <v>100</v>
      </c>
      <c r="Z25" s="14" t="n">
        <v>100</v>
      </c>
      <c r="AA25" s="14" t="n">
        <v>100</v>
      </c>
      <c r="AB25" s="14" t="n">
        <v>100</v>
      </c>
      <c r="AC25" s="14" t="n"/>
      <c r="AD25" s="14" t="n"/>
      <c r="AE25" s="15" t="inlineStr">
        <is>
          <t>ดำเนินการ ทบทวนหลักการกำหนด RA เป็นไปตามแผน (ถึง ต.ค.)</t>
        </is>
      </c>
      <c r="AF25" s="15" t="inlineStr">
        <is>
          <t>ล่าช้ากว่าแผน ติดขั้นตอนอนุมัติ</t>
        </is>
      </c>
      <c r="AG25" s="16" t="inlineStr">
        <is>
          <t>เป็ด</t>
        </is>
      </c>
      <c r="AH25" s="17" t="n">
        <v>2.08</v>
      </c>
    </row>
    <row r="26" ht="36" customHeight="1">
      <c r="A26" s="11" t="inlineStr">
        <is>
          <t>M_2.3.2</t>
        </is>
      </c>
      <c r="B26" s="11" t="inlineStr">
        <is>
          <t>2.</t>
        </is>
      </c>
      <c r="C26" s="11" t="inlineStr">
        <is>
          <t>2.3</t>
        </is>
      </c>
      <c r="D26" s="12" t="inlineStr">
        <is>
          <t>2.3.2</t>
        </is>
      </c>
      <c r="E26" s="12" t="inlineStr">
        <is>
          <t>ระบุ Emerging Risk เป็นข้อมูลนำเข้าในการวิเคราะห์สภาพแวดล้อม</t>
        </is>
      </c>
      <c r="F26" s="11" t="inlineStr">
        <is>
          <t>งานบริหารความเสี่ยง / เป็ด</t>
        </is>
      </c>
      <c r="G26" s="13" t="n">
        <v>6.7</v>
      </c>
      <c r="H26" s="13" t="n">
        <v>20</v>
      </c>
      <c r="I26" s="13" t="n">
        <v>40</v>
      </c>
      <c r="J26" s="13" t="n">
        <v>46.7</v>
      </c>
      <c r="K26" s="13" t="n">
        <v>53.3</v>
      </c>
      <c r="L26" s="13" t="n">
        <v>60</v>
      </c>
      <c r="M26" s="13" t="n">
        <v>66.7</v>
      </c>
      <c r="N26" s="13" t="n">
        <v>73.3</v>
      </c>
      <c r="O26" s="13" t="n">
        <v>80</v>
      </c>
      <c r="P26" s="13" t="n">
        <v>86.7</v>
      </c>
      <c r="Q26" s="13" t="n">
        <v>93.3</v>
      </c>
      <c r="R26" s="13" t="n">
        <v>100</v>
      </c>
      <c r="S26" s="14" t="n">
        <v>6.7</v>
      </c>
      <c r="T26" s="14" t="n">
        <v>20</v>
      </c>
      <c r="U26" s="14" t="n">
        <v>40</v>
      </c>
      <c r="V26" s="14" t="n">
        <v>46.7</v>
      </c>
      <c r="W26" s="14" t="n">
        <v>53.3</v>
      </c>
      <c r="X26" s="14" t="n">
        <v>60</v>
      </c>
      <c r="Y26" s="14" t="n">
        <v>66.7</v>
      </c>
      <c r="Z26" s="14" t="n">
        <v>73.3</v>
      </c>
      <c r="AA26" s="14" t="n">
        <v>80</v>
      </c>
      <c r="AB26" s="14" t="n">
        <v>86.7</v>
      </c>
      <c r="AC26" s="14" t="n"/>
      <c r="AD26" s="14" t="n"/>
      <c r="AE26" s="15" t="inlineStr">
        <is>
          <t>ดำเนินการ ระบุ Emerging Risk เ เป็นไปตามแผน (ถึง ต.ค.)</t>
        </is>
      </c>
      <c r="AF26" s="15" t="n"/>
      <c r="AG26" s="16" t="inlineStr">
        <is>
          <t>เป็ด</t>
        </is>
      </c>
      <c r="AH26" s="17" t="n">
        <v>2.08</v>
      </c>
    </row>
    <row r="27" ht="54" customHeight="1">
      <c r="A27" s="11" t="inlineStr">
        <is>
          <t>M_2.3.3</t>
        </is>
      </c>
      <c r="B27" s="11" t="inlineStr">
        <is>
          <t>2.</t>
        </is>
      </c>
      <c r="C27" s="11" t="inlineStr">
        <is>
          <t>2.3</t>
        </is>
      </c>
      <c r="D27" s="12" t="inlineStr">
        <is>
          <t>2.3.3</t>
        </is>
      </c>
      <c r="E27" s="12" t="inlineStr">
        <is>
          <t>ระบุ Intelligent Risk ที่อาจส่งผลต่อบรรลุเป้าหมายในแต่ละตำแหน่งเชิงยุทธศาสตร์ขององค์กร</t>
        </is>
      </c>
      <c r="F27" s="11" t="inlineStr">
        <is>
          <t>งานบริหารความเสี่ยง / เป็ด</t>
        </is>
      </c>
      <c r="G27" s="13" t="n"/>
      <c r="H27" s="13" t="n"/>
      <c r="I27" s="13" t="n"/>
      <c r="J27" s="13" t="n">
        <v>25</v>
      </c>
      <c r="K27" s="13" t="n">
        <v>50</v>
      </c>
      <c r="L27" s="13" t="n">
        <v>75</v>
      </c>
      <c r="M27" s="13" t="n">
        <v>100</v>
      </c>
      <c r="N27" s="13" t="n">
        <v>100</v>
      </c>
      <c r="O27" s="13" t="n">
        <v>100</v>
      </c>
      <c r="P27" s="13" t="n">
        <v>100</v>
      </c>
      <c r="Q27" s="13" t="n">
        <v>100</v>
      </c>
      <c r="R27" s="13" t="n">
        <v>100</v>
      </c>
      <c r="S27" s="14" t="n"/>
      <c r="T27" s="14" t="n"/>
      <c r="U27" s="14" t="n"/>
      <c r="V27" s="14" t="n">
        <v>25</v>
      </c>
      <c r="W27" s="14" t="n">
        <v>50</v>
      </c>
      <c r="X27" s="14" t="n">
        <v>75</v>
      </c>
      <c r="Y27" s="14" t="n">
        <v>100</v>
      </c>
      <c r="Z27" s="14" t="n">
        <v>100</v>
      </c>
      <c r="AA27" s="14" t="n">
        <v>100</v>
      </c>
      <c r="AB27" s="14" t="n">
        <v>100</v>
      </c>
      <c r="AC27" s="14" t="n"/>
      <c r="AD27" s="14" t="n"/>
      <c r="AE27" s="15" t="inlineStr">
        <is>
          <t>ดำเนินการ ระบุ Intelligent Ris เป็นไปตามแผน (ถึง ต.ค.)</t>
        </is>
      </c>
      <c r="AF27" s="15" t="n"/>
      <c r="AG27" s="16" t="inlineStr">
        <is>
          <t>เป็ด</t>
        </is>
      </c>
      <c r="AH27" s="17" t="n">
        <v>2.08</v>
      </c>
    </row>
    <row r="28" ht="36" customHeight="1">
      <c r="A28" s="11" t="inlineStr">
        <is>
          <t>M_2.3.4</t>
        </is>
      </c>
      <c r="B28" s="11" t="inlineStr">
        <is>
          <t>2.</t>
        </is>
      </c>
      <c r="C28" s="11" t="inlineStr">
        <is>
          <t>2.3</t>
        </is>
      </c>
      <c r="D28" s="12" t="inlineStr">
        <is>
          <t>2.3.4</t>
        </is>
      </c>
      <c r="E28" s="12" t="inlineStr">
        <is>
          <t>ระบุและวิเคราะห์ความเสี่ยงที่อาจส่งผลต่อการบรรลุวัตถุประสงค์เชิงยุทธศาสตร์ (SO)</t>
        </is>
      </c>
      <c r="F28" s="11" t="inlineStr">
        <is>
          <t>งานบริหารความเสี่ยง / เป็ด</t>
        </is>
      </c>
      <c r="G28" s="13" t="n"/>
      <c r="H28" s="13" t="n"/>
      <c r="I28" s="13" t="n"/>
      <c r="J28" s="13" t="n">
        <v>25</v>
      </c>
      <c r="K28" s="13" t="n">
        <v>50</v>
      </c>
      <c r="L28" s="13" t="n">
        <v>75</v>
      </c>
      <c r="M28" s="13" t="n">
        <v>100</v>
      </c>
      <c r="N28" s="13" t="n">
        <v>100</v>
      </c>
      <c r="O28" s="13" t="n">
        <v>100</v>
      </c>
      <c r="P28" s="13" t="n">
        <v>100</v>
      </c>
      <c r="Q28" s="13" t="n">
        <v>100</v>
      </c>
      <c r="R28" s="13" t="n">
        <v>100</v>
      </c>
      <c r="S28" s="14" t="n"/>
      <c r="T28" s="14" t="n"/>
      <c r="U28" s="14" t="n"/>
      <c r="V28" s="14" t="n">
        <v>25</v>
      </c>
      <c r="W28" s="14" t="n">
        <v>50</v>
      </c>
      <c r="X28" s="14" t="n">
        <v>75</v>
      </c>
      <c r="Y28" s="14" t="n">
        <v>100</v>
      </c>
      <c r="Z28" s="14" t="n">
        <v>100</v>
      </c>
      <c r="AA28" s="14" t="n">
        <v>100</v>
      </c>
      <c r="AB28" s="14" t="n">
        <v>100</v>
      </c>
      <c r="AC28" s="14" t="n"/>
      <c r="AD28" s="14" t="n"/>
      <c r="AE28" s="15" t="inlineStr">
        <is>
          <t>ดำเนินการ ระบุและวิเคราะห์ความ เป็นไปตามแผน (ถึง ต.ค.)</t>
        </is>
      </c>
      <c r="AF28" s="15" t="n"/>
      <c r="AG28" s="16" t="inlineStr">
        <is>
          <t>เป็ด</t>
        </is>
      </c>
      <c r="AH28" s="17" t="n">
        <v>2.08</v>
      </c>
    </row>
    <row r="29" ht="54" customHeight="1">
      <c r="A29" s="11" t="inlineStr">
        <is>
          <t>M_2.3.5</t>
        </is>
      </c>
      <c r="B29" s="11" t="inlineStr">
        <is>
          <t>2.</t>
        </is>
      </c>
      <c r="C29" s="11" t="inlineStr">
        <is>
          <t>2.3</t>
        </is>
      </c>
      <c r="D29" s="12" t="inlineStr">
        <is>
          <t>2.3.5</t>
        </is>
      </c>
      <c r="E29" s="12" t="inlineStr">
        <is>
          <t>ทบทวนแบบฟอร์มและเกณฑ์การประเมินความเสี่ยงและ ประสิทธิผลของการควบคุมของแผน AP และแผนแม่บทที่เกี่ยวข้อง</t>
        </is>
      </c>
      <c r="F29" s="11" t="inlineStr">
        <is>
          <t>งานบริหารความเสี่ยง / เป็ด</t>
        </is>
      </c>
      <c r="G29" s="13" t="n"/>
      <c r="H29" s="13" t="n"/>
      <c r="I29" s="13" t="n"/>
      <c r="J29" s="13" t="n"/>
      <c r="K29" s="13" t="n">
        <v>33.3</v>
      </c>
      <c r="L29" s="13" t="n">
        <v>66.7</v>
      </c>
      <c r="M29" s="13" t="n">
        <v>100</v>
      </c>
      <c r="N29" s="13" t="n">
        <v>100</v>
      </c>
      <c r="O29" s="13" t="n">
        <v>100</v>
      </c>
      <c r="P29" s="13" t="n">
        <v>100</v>
      </c>
      <c r="Q29" s="13" t="n">
        <v>100</v>
      </c>
      <c r="R29" s="13" t="n">
        <v>100</v>
      </c>
      <c r="S29" s="14" t="n"/>
      <c r="T29" s="14" t="n"/>
      <c r="U29" s="14" t="n"/>
      <c r="V29" s="14" t="n"/>
      <c r="W29" s="14" t="n">
        <v>33.3</v>
      </c>
      <c r="X29" s="14" t="n">
        <v>66.7</v>
      </c>
      <c r="Y29" s="14" t="n">
        <v>100</v>
      </c>
      <c r="Z29" s="14" t="n">
        <v>100</v>
      </c>
      <c r="AA29" s="14" t="n">
        <v>100</v>
      </c>
      <c r="AB29" s="14" t="n">
        <v>100</v>
      </c>
      <c r="AC29" s="14" t="n"/>
      <c r="AD29" s="14" t="n"/>
      <c r="AE29" s="15" t="inlineStr">
        <is>
          <t>ดำเนินการ ทบทวนแบบฟอร์มและเกณฑ เป็นไปตามแผน (ถึง ต.ค.)</t>
        </is>
      </c>
      <c r="AF29" s="15" t="n"/>
      <c r="AG29" s="16" t="inlineStr">
        <is>
          <t>เป็ด</t>
        </is>
      </c>
      <c r="AH29" s="17" t="n">
        <v>2.08</v>
      </c>
    </row>
    <row r="30" ht="54" customHeight="1">
      <c r="A30" s="11" t="inlineStr">
        <is>
          <t>M_2.3.6</t>
        </is>
      </c>
      <c r="B30" s="11" t="inlineStr">
        <is>
          <t>2.</t>
        </is>
      </c>
      <c r="C30" s="11" t="inlineStr">
        <is>
          <t>2.3</t>
        </is>
      </c>
      <c r="D30" s="12" t="inlineStr">
        <is>
          <t>2.3.6</t>
        </is>
      </c>
      <c r="E30" s="12" t="inlineStr">
        <is>
          <t>สื่อสารแบบฟอร์มการประเมินความเสี่ยง และหลักเกณฑ์การประเมินความเพียงพอของการควบคุมภายใน</t>
        </is>
      </c>
      <c r="F30" s="11" t="inlineStr">
        <is>
          <t>งานบริหารความเสี่ยง / เป็ด</t>
        </is>
      </c>
      <c r="G30" s="13" t="n"/>
      <c r="H30" s="13" t="n"/>
      <c r="I30" s="13" t="n"/>
      <c r="J30" s="13" t="n"/>
      <c r="K30" s="13" t="n"/>
      <c r="L30" s="13" t="n">
        <v>50</v>
      </c>
      <c r="M30" s="13" t="n">
        <v>100</v>
      </c>
      <c r="N30" s="13" t="n">
        <v>100</v>
      </c>
      <c r="O30" s="13" t="n">
        <v>100</v>
      </c>
      <c r="P30" s="13" t="n">
        <v>100</v>
      </c>
      <c r="Q30" s="13" t="n">
        <v>100</v>
      </c>
      <c r="R30" s="13" t="n">
        <v>100</v>
      </c>
      <c r="S30" s="14" t="n"/>
      <c r="T30" s="14" t="n"/>
      <c r="U30" s="14" t="n"/>
      <c r="V30" s="14" t="n"/>
      <c r="W30" s="14" t="n"/>
      <c r="X30" s="14" t="n">
        <v>50</v>
      </c>
      <c r="Y30" s="14" t="n">
        <v>100</v>
      </c>
      <c r="Z30" s="14" t="n">
        <v>100</v>
      </c>
      <c r="AA30" s="14" t="n">
        <v>100</v>
      </c>
      <c r="AB30" s="14" t="n">
        <v>100</v>
      </c>
      <c r="AC30" s="14" t="n"/>
      <c r="AD30" s="14" t="n"/>
      <c r="AE30" s="15" t="inlineStr">
        <is>
          <t>ดำเนินการ สื่อสารแบบฟอร์มการปร เป็นไปตามแผน (ถึง ต.ค.)</t>
        </is>
      </c>
      <c r="AF30" s="15" t="n"/>
      <c r="AG30" s="16" t="inlineStr">
        <is>
          <t>เป็ด</t>
        </is>
      </c>
      <c r="AH30" s="17" t="n">
        <v>2.08</v>
      </c>
    </row>
    <row r="31" ht="54" customHeight="1">
      <c r="A31" s="11" t="inlineStr">
        <is>
          <t>M_2.3.7</t>
        </is>
      </c>
      <c r="B31" s="11" t="inlineStr">
        <is>
          <t>2.</t>
        </is>
      </c>
      <c r="C31" s="11" t="inlineStr">
        <is>
          <t>2.3</t>
        </is>
      </c>
      <c r="D31" s="12" t="inlineStr">
        <is>
          <t>2.3.7</t>
        </is>
      </c>
      <c r="E31" s="12" t="inlineStr">
        <is>
          <t>ติดตามการวิเคราะห์ ระบุ และประเมินความเสี่ยงของแผนปฏิบัติการ และแผนแม่บทที่เกี่ยวข้อง พร้อมกำหนดมาตรการจัดการความเสี่ยง</t>
        </is>
      </c>
      <c r="F31" s="11" t="inlineStr">
        <is>
          <t>งานบริหารความเสี่ยง / เป็ด</t>
        </is>
      </c>
      <c r="G31" s="13" t="n"/>
      <c r="H31" s="13" t="n"/>
      <c r="I31" s="13" t="n"/>
      <c r="J31" s="13" t="n"/>
      <c r="K31" s="13" t="n"/>
      <c r="L31" s="13" t="n">
        <v>40</v>
      </c>
      <c r="M31" s="13" t="n">
        <v>60</v>
      </c>
      <c r="N31" s="13" t="n">
        <v>80</v>
      </c>
      <c r="O31" s="13" t="n">
        <v>100</v>
      </c>
      <c r="P31" s="13" t="n">
        <v>100</v>
      </c>
      <c r="Q31" s="13" t="n">
        <v>100</v>
      </c>
      <c r="R31" s="13" t="n">
        <v>100</v>
      </c>
      <c r="S31" s="14" t="n"/>
      <c r="T31" s="14" t="n"/>
      <c r="U31" s="14" t="n"/>
      <c r="V31" s="14" t="n"/>
      <c r="W31" s="14" t="n"/>
      <c r="X31" s="14" t="n">
        <v>40</v>
      </c>
      <c r="Y31" s="14" t="n">
        <v>60</v>
      </c>
      <c r="Z31" s="14" t="n">
        <v>80</v>
      </c>
      <c r="AA31" s="14" t="n">
        <v>100</v>
      </c>
      <c r="AB31" s="14" t="n">
        <v>100</v>
      </c>
      <c r="AC31" s="14" t="n"/>
      <c r="AD31" s="14" t="n"/>
      <c r="AE31" s="15" t="inlineStr">
        <is>
          <t>ดำเนินการ ติดตามการวิเคราะห์ ร เป็นไปตามแผน (ถึง ต.ค.)</t>
        </is>
      </c>
      <c r="AF31" s="15" t="inlineStr">
        <is>
          <t>ล่าช้ากว่าแผน ติดขั้นตอนอนุมัติ</t>
        </is>
      </c>
      <c r="AG31" s="16" t="inlineStr">
        <is>
          <t>เป็ด</t>
        </is>
      </c>
      <c r="AH31" s="17" t="n">
        <v>2.08</v>
      </c>
    </row>
    <row r="32" ht="54" customHeight="1">
      <c r="A32" s="11" t="inlineStr">
        <is>
          <t>M_2.4.1</t>
        </is>
      </c>
      <c r="B32" s="11" t="inlineStr">
        <is>
          <t>2.</t>
        </is>
      </c>
      <c r="C32" s="11" t="inlineStr">
        <is>
          <t>2.4</t>
        </is>
      </c>
      <c r="D32" s="12" t="inlineStr">
        <is>
          <t>2.4.1</t>
        </is>
      </c>
      <c r="E32" s="12" t="inlineStr">
        <is>
          <t>รวบรวม/วิเคราะห์ข้อมูลความเสี่ยง การควบคุม และนำเข้าใน Risk Inventory พร้อมทบทวนเกณฑ์ประเมินการควบคุม</t>
        </is>
      </c>
      <c r="F32" s="11" t="inlineStr">
        <is>
          <t>งานบริหารความเสี่ยง</t>
        </is>
      </c>
      <c r="G32" s="13" t="n">
        <v>5.3</v>
      </c>
      <c r="H32" s="13" t="n">
        <v>10.5</v>
      </c>
      <c r="I32" s="13" t="n">
        <v>15.8</v>
      </c>
      <c r="J32" s="13" t="n">
        <v>21.1</v>
      </c>
      <c r="K32" s="13" t="n">
        <v>31.6</v>
      </c>
      <c r="L32" s="13" t="n">
        <v>47.4</v>
      </c>
      <c r="M32" s="13" t="n">
        <v>63.2</v>
      </c>
      <c r="N32" s="13" t="n">
        <v>68.40000000000001</v>
      </c>
      <c r="O32" s="13" t="n">
        <v>73.7</v>
      </c>
      <c r="P32" s="13" t="n">
        <v>78.90000000000001</v>
      </c>
      <c r="Q32" s="13" t="n">
        <v>89.5</v>
      </c>
      <c r="R32" s="13" t="n">
        <v>100</v>
      </c>
      <c r="S32" s="14" t="n">
        <v>5.3</v>
      </c>
      <c r="T32" s="14" t="n">
        <v>10.5</v>
      </c>
      <c r="U32" s="14" t="n">
        <v>15.8</v>
      </c>
      <c r="V32" s="14" t="n">
        <v>21.1</v>
      </c>
      <c r="W32" s="14" t="n">
        <v>31.6</v>
      </c>
      <c r="X32" s="14" t="n">
        <v>47.4</v>
      </c>
      <c r="Y32" s="14" t="n">
        <v>63.2</v>
      </c>
      <c r="Z32" s="14" t="n">
        <v>68.40000000000001</v>
      </c>
      <c r="AA32" s="14" t="n">
        <v>73.7</v>
      </c>
      <c r="AB32" s="14" t="n">
        <v>78.90000000000001</v>
      </c>
      <c r="AC32" s="14" t="n"/>
      <c r="AD32" s="14" t="n"/>
      <c r="AE32" s="15" t="inlineStr">
        <is>
          <t>ดำเนินการ รวบรวม/วิเคราะห์ข้อม เป็นไปตามแผน (ถึง ต.ค.)</t>
        </is>
      </c>
      <c r="AF32" s="15" t="n"/>
      <c r="AG32" s="16" t="inlineStr">
        <is>
          <t>งานบริหารความเสี่ยง</t>
        </is>
      </c>
      <c r="AH32" s="17" t="n">
        <v>2.08</v>
      </c>
    </row>
    <row r="33" ht="36" customHeight="1">
      <c r="A33" s="11" t="inlineStr">
        <is>
          <t>M_2.4.2</t>
        </is>
      </c>
      <c r="B33" s="11" t="inlineStr">
        <is>
          <t>2.</t>
        </is>
      </c>
      <c r="C33" s="11" t="inlineStr">
        <is>
          <t>2.4</t>
        </is>
      </c>
      <c r="D33" s="12" t="inlineStr">
        <is>
          <t>2.4.2</t>
        </is>
      </c>
      <c r="E33" s="12" t="inlineStr">
        <is>
          <t>คัดเลือกปัจจัยเสี่ยงระดับองค์กร พร้อมวิเคราะห์ Leading / Lagging Indicator ของแต่ละความเสี่ยง</t>
        </is>
      </c>
      <c r="F33" s="11" t="inlineStr">
        <is>
          <t>งานบริหารความเสี่ยง</t>
        </is>
      </c>
      <c r="G33" s="13" t="n"/>
      <c r="H33" s="13" t="n"/>
      <c r="I33" s="13" t="n"/>
      <c r="J33" s="13" t="n"/>
      <c r="K33" s="13" t="n"/>
      <c r="L33" s="13" t="n">
        <v>33.3</v>
      </c>
      <c r="M33" s="13" t="n">
        <v>66.7</v>
      </c>
      <c r="N33" s="13" t="n">
        <v>100</v>
      </c>
      <c r="O33" s="13" t="n">
        <v>100</v>
      </c>
      <c r="P33" s="13" t="n">
        <v>100</v>
      </c>
      <c r="Q33" s="13" t="n">
        <v>100</v>
      </c>
      <c r="R33" s="13" t="n">
        <v>100</v>
      </c>
      <c r="S33" s="14" t="n"/>
      <c r="T33" s="14" t="n"/>
      <c r="U33" s="14" t="n"/>
      <c r="V33" s="14" t="n"/>
      <c r="W33" s="14" t="n"/>
      <c r="X33" s="14" t="n">
        <v>33.3</v>
      </c>
      <c r="Y33" s="14" t="n">
        <v>66.7</v>
      </c>
      <c r="Z33" s="14" t="n">
        <v>100</v>
      </c>
      <c r="AA33" s="14" t="n">
        <v>100</v>
      </c>
      <c r="AB33" s="14" t="n">
        <v>100</v>
      </c>
      <c r="AC33" s="14" t="n"/>
      <c r="AD33" s="14" t="n"/>
      <c r="AE33" s="15" t="inlineStr">
        <is>
          <t>ดำเนินการ คัดเลือกปัจจัยเสี่ยง เป็นไปตามแผน (ถึง ต.ค.)</t>
        </is>
      </c>
      <c r="AF33" s="15" t="n"/>
      <c r="AG33" s="16" t="inlineStr">
        <is>
          <t>งานบริหารความเสี่ยง</t>
        </is>
      </c>
      <c r="AH33" s="17" t="n">
        <v>2.08</v>
      </c>
    </row>
    <row r="34" ht="36" customHeight="1">
      <c r="A34" s="11" t="inlineStr">
        <is>
          <t>M_2.4.3</t>
        </is>
      </c>
      <c r="B34" s="11" t="inlineStr">
        <is>
          <t>2.</t>
        </is>
      </c>
      <c r="C34" s="11" t="inlineStr">
        <is>
          <t>2.4</t>
        </is>
      </c>
      <c r="D34" s="12" t="inlineStr">
        <is>
          <t>2.4.3</t>
        </is>
      </c>
      <c r="E34" s="12" t="inlineStr">
        <is>
          <t>จัดให้มีการประเมินความเสี่ยง และสื่อสารความเสี่ยงต่อผู้รับผิดชอบ</t>
        </is>
      </c>
      <c r="F34" s="11" t="inlineStr">
        <is>
          <t>งานบริหารความเสี่ยง</t>
        </is>
      </c>
      <c r="G34" s="13" t="n"/>
      <c r="H34" s="13" t="n"/>
      <c r="I34" s="13" t="n"/>
      <c r="J34" s="13" t="n"/>
      <c r="K34" s="13" t="n"/>
      <c r="L34" s="13" t="n"/>
      <c r="M34" s="13" t="n">
        <v>20</v>
      </c>
      <c r="N34" s="13" t="n">
        <v>40</v>
      </c>
      <c r="O34" s="13" t="n">
        <v>80</v>
      </c>
      <c r="P34" s="13" t="n">
        <v>100</v>
      </c>
      <c r="Q34" s="13" t="n">
        <v>100</v>
      </c>
      <c r="R34" s="13" t="n">
        <v>100</v>
      </c>
      <c r="S34" s="14" t="n"/>
      <c r="T34" s="14" t="n"/>
      <c r="U34" s="14" t="n"/>
      <c r="V34" s="14" t="n"/>
      <c r="W34" s="14" t="n"/>
      <c r="X34" s="14" t="n"/>
      <c r="Y34" s="14" t="n">
        <v>20</v>
      </c>
      <c r="Z34" s="14" t="n">
        <v>40</v>
      </c>
      <c r="AA34" s="14" t="n">
        <v>80</v>
      </c>
      <c r="AB34" s="14" t="n">
        <v>100</v>
      </c>
      <c r="AC34" s="14" t="n"/>
      <c r="AD34" s="14" t="n"/>
      <c r="AE34" s="15" t="inlineStr">
        <is>
          <t>ดำเนินการ จัดให้มีการประเมินคว เป็นไปตามแผน (ถึง ต.ค.)</t>
        </is>
      </c>
      <c r="AF34" s="15" t="n"/>
      <c r="AG34" s="16" t="inlineStr">
        <is>
          <t>งานบริหารความเสี่ยง</t>
        </is>
      </c>
      <c r="AH34" s="17" t="n">
        <v>2.08</v>
      </c>
    </row>
    <row r="35" ht="54" customHeight="1">
      <c r="A35" s="11" t="inlineStr">
        <is>
          <t>M_2.4.4</t>
        </is>
      </c>
      <c r="B35" s="11" t="inlineStr">
        <is>
          <t>2.</t>
        </is>
      </c>
      <c r="C35" s="11" t="inlineStr">
        <is>
          <t>2.4</t>
        </is>
      </c>
      <c r="D35" s="12" t="inlineStr">
        <is>
          <t>2.4.4</t>
        </is>
      </c>
      <c r="E35" s="12" t="inlineStr">
        <is>
          <t>พิจารณาและคัดเลือกวิธีการจัดการความเสี่ยง พร้อมทั้ง วิเคราะห์และจัดทำ Risk Correlation Map/Portfolio View of Risk</t>
        </is>
      </c>
      <c r="F35" s="11" t="inlineStr">
        <is>
          <t>งานบริหารความเสี่ยง</t>
        </is>
      </c>
      <c r="G35" s="13" t="n"/>
      <c r="H35" s="13" t="n"/>
      <c r="I35" s="13" t="n"/>
      <c r="J35" s="13" t="n"/>
      <c r="K35" s="13" t="n"/>
      <c r="L35" s="13" t="n"/>
      <c r="M35" s="13" t="n"/>
      <c r="N35" s="13" t="n">
        <v>14.3</v>
      </c>
      <c r="O35" s="13" t="n">
        <v>42.9</v>
      </c>
      <c r="P35" s="13" t="n">
        <v>71.40000000000001</v>
      </c>
      <c r="Q35" s="13" t="n">
        <v>100</v>
      </c>
      <c r="R35" s="13" t="n">
        <v>100</v>
      </c>
      <c r="S35" s="14" t="n"/>
      <c r="T35" s="14" t="n"/>
      <c r="U35" s="14" t="n"/>
      <c r="V35" s="14" t="n"/>
      <c r="W35" s="14" t="n"/>
      <c r="X35" s="14" t="n"/>
      <c r="Y35" s="14" t="n"/>
      <c r="Z35" s="14" t="n">
        <v>14.3</v>
      </c>
      <c r="AA35" s="14" t="n">
        <v>42.9</v>
      </c>
      <c r="AB35" s="14" t="n">
        <v>71.40000000000001</v>
      </c>
      <c r="AC35" s="14" t="n"/>
      <c r="AD35" s="14" t="n"/>
      <c r="AE35" s="15" t="inlineStr">
        <is>
          <t>ดำเนินการ พิจารณาและคัดเลือกวิ เป็นไปตามแผน (ถึง ต.ค.)</t>
        </is>
      </c>
      <c r="AF35" s="15" t="n"/>
      <c r="AG35" s="16" t="inlineStr">
        <is>
          <t>งานบริหารความเสี่ยง</t>
        </is>
      </c>
      <c r="AH35" s="17" t="n">
        <v>2.08</v>
      </c>
    </row>
    <row r="36" ht="36" customHeight="1">
      <c r="A36" s="11" t="inlineStr">
        <is>
          <t>M_2.4.5</t>
        </is>
      </c>
      <c r="B36" s="11" t="inlineStr">
        <is>
          <t>2.</t>
        </is>
      </c>
      <c r="C36" s="11" t="inlineStr">
        <is>
          <t>2.4</t>
        </is>
      </c>
      <c r="D36" s="12" t="inlineStr">
        <is>
          <t>2.4.5</t>
        </is>
      </c>
      <c r="E36" s="12" t="inlineStr">
        <is>
          <t>จัดทำแผนบริหารความเสี่ยง และทบทวนแผนบริหารความเสี่ยงของปีถัดไป</t>
        </is>
      </c>
      <c r="F36" s="11" t="inlineStr">
        <is>
          <t>งานบริหารความเสี่ยง</t>
        </is>
      </c>
      <c r="G36" s="13" t="n"/>
      <c r="H36" s="13" t="n"/>
      <c r="I36" s="13" t="n"/>
      <c r="J36" s="13" t="n"/>
      <c r="K36" s="13" t="n"/>
      <c r="L36" s="13" t="n"/>
      <c r="M36" s="13" t="n"/>
      <c r="N36" s="13" t="n">
        <v>25</v>
      </c>
      <c r="O36" s="13" t="n">
        <v>50</v>
      </c>
      <c r="P36" s="13" t="n">
        <v>75</v>
      </c>
      <c r="Q36" s="13" t="n">
        <v>100</v>
      </c>
      <c r="R36" s="13" t="n">
        <v>100</v>
      </c>
      <c r="S36" s="14" t="n"/>
      <c r="T36" s="14" t="n"/>
      <c r="U36" s="14" t="n"/>
      <c r="V36" s="14" t="n"/>
      <c r="W36" s="14" t="n"/>
      <c r="X36" s="14" t="n"/>
      <c r="Y36" s="14" t="n"/>
      <c r="Z36" s="14" t="n">
        <v>25</v>
      </c>
      <c r="AA36" s="14" t="n">
        <v>50</v>
      </c>
      <c r="AB36" s="14" t="n">
        <v>75</v>
      </c>
      <c r="AC36" s="14" t="n"/>
      <c r="AD36" s="14" t="n"/>
      <c r="AE36" s="15" t="inlineStr">
        <is>
          <t>ดำเนินการ จัดทำแผนบริหารความเส เป็นไปตามแผน (ถึง ต.ค.)</t>
        </is>
      </c>
      <c r="AF36" s="15" t="n"/>
      <c r="AG36" s="16" t="inlineStr">
        <is>
          <t>งานบริหารความเสี่ยง</t>
        </is>
      </c>
      <c r="AH36" s="17" t="n">
        <v>2.08</v>
      </c>
    </row>
    <row r="37" ht="36" customHeight="1">
      <c r="A37" s="11" t="inlineStr">
        <is>
          <t>M_2.4.6</t>
        </is>
      </c>
      <c r="B37" s="11" t="inlineStr">
        <is>
          <t>2.</t>
        </is>
      </c>
      <c r="C37" s="11" t="inlineStr">
        <is>
          <t>2.4</t>
        </is>
      </c>
      <c r="D37" s="12" t="inlineStr">
        <is>
          <t>2.4.6</t>
        </is>
      </c>
      <c r="E37" s="12" t="inlineStr">
        <is>
          <t>ติดตามและรายงานผลการบริหารความเสี่ยงและการควบคุมของความเสี่ยงปีปัจจุบัน</t>
        </is>
      </c>
      <c r="F37" s="11" t="inlineStr">
        <is>
          <t>งานบริหารความเสี่ยง</t>
        </is>
      </c>
      <c r="G37" s="13" t="n">
        <v>7.1</v>
      </c>
      <c r="H37" s="13" t="n">
        <v>14.3</v>
      </c>
      <c r="I37" s="13" t="n">
        <v>21.4</v>
      </c>
      <c r="J37" s="13" t="n">
        <v>32.1</v>
      </c>
      <c r="K37" s="13" t="n">
        <v>39.3</v>
      </c>
      <c r="L37" s="13" t="n">
        <v>46.4</v>
      </c>
      <c r="M37" s="13" t="n">
        <v>57.1</v>
      </c>
      <c r="N37" s="13" t="n">
        <v>64.3</v>
      </c>
      <c r="O37" s="13" t="n">
        <v>71.40000000000001</v>
      </c>
      <c r="P37" s="13" t="n">
        <v>82.09999999999999</v>
      </c>
      <c r="Q37" s="13" t="n">
        <v>89.3</v>
      </c>
      <c r="R37" s="13" t="n">
        <v>100</v>
      </c>
      <c r="S37" s="14" t="n">
        <v>7.1</v>
      </c>
      <c r="T37" s="14" t="n">
        <v>14.3</v>
      </c>
      <c r="U37" s="14" t="n">
        <v>21.4</v>
      </c>
      <c r="V37" s="14" t="n">
        <v>32.1</v>
      </c>
      <c r="W37" s="14" t="n">
        <v>39.3</v>
      </c>
      <c r="X37" s="14" t="n">
        <v>46.4</v>
      </c>
      <c r="Y37" s="14" t="n">
        <v>57.1</v>
      </c>
      <c r="Z37" s="14" t="n">
        <v>64.3</v>
      </c>
      <c r="AA37" s="14" t="n">
        <v>71.40000000000001</v>
      </c>
      <c r="AB37" s="14" t="n">
        <v>82.09999999999999</v>
      </c>
      <c r="AC37" s="14" t="n"/>
      <c r="AD37" s="14" t="n"/>
      <c r="AE37" s="15" t="inlineStr">
        <is>
          <t>ดำเนินการ ติดตามและรายงานผลการ เป็นไปตามแผน (ถึง ต.ค.)</t>
        </is>
      </c>
      <c r="AF37" s="15" t="n"/>
      <c r="AG37" s="16" t="inlineStr">
        <is>
          <t>งานบริหารความเสี่ยง</t>
        </is>
      </c>
      <c r="AH37" s="17" t="n">
        <v>2.08</v>
      </c>
    </row>
    <row r="38" ht="54" customHeight="1">
      <c r="A38" s="11" t="inlineStr">
        <is>
          <t>M_2.4.7</t>
        </is>
      </c>
      <c r="B38" s="11" t="inlineStr">
        <is>
          <t>2.</t>
        </is>
      </c>
      <c r="C38" s="11" t="inlineStr">
        <is>
          <t>2.4</t>
        </is>
      </c>
      <c r="D38" s="12" t="inlineStr">
        <is>
          <t>2.4.7</t>
        </is>
      </c>
      <c r="E38" s="12" t="inlineStr">
        <is>
          <t>พัฒนาระบบเทคโนโลยีดิจิทัลเพื่อสนับสนุนกระบวนการบริหารความเสี่ยง และระบบเตือนภัยล่วงหน้า</t>
        </is>
      </c>
      <c r="F38" s="11" t="inlineStr">
        <is>
          <t>งานบริหารความเสี่ยง</t>
        </is>
      </c>
      <c r="G38" s="13" t="n">
        <v>8.300000000000001</v>
      </c>
      <c r="H38" s="13" t="n">
        <v>16.7</v>
      </c>
      <c r="I38" s="13" t="n">
        <v>25</v>
      </c>
      <c r="J38" s="13" t="n">
        <v>33.3</v>
      </c>
      <c r="K38" s="13" t="n">
        <v>41.7</v>
      </c>
      <c r="L38" s="13" t="n">
        <v>50</v>
      </c>
      <c r="M38" s="13" t="n">
        <v>58.3</v>
      </c>
      <c r="N38" s="13" t="n">
        <v>66.7</v>
      </c>
      <c r="O38" s="13" t="n">
        <v>75</v>
      </c>
      <c r="P38" s="13" t="n">
        <v>83.3</v>
      </c>
      <c r="Q38" s="13" t="n">
        <v>91.7</v>
      </c>
      <c r="R38" s="13" t="n">
        <v>100</v>
      </c>
      <c r="S38" s="14" t="n">
        <v>8.300000000000001</v>
      </c>
      <c r="T38" s="14" t="n">
        <v>16.7</v>
      </c>
      <c r="U38" s="14" t="n">
        <v>25</v>
      </c>
      <c r="V38" s="14" t="n">
        <v>33.3</v>
      </c>
      <c r="W38" s="14" t="n">
        <v>41.7</v>
      </c>
      <c r="X38" s="14" t="n">
        <v>50</v>
      </c>
      <c r="Y38" s="14" t="n">
        <v>58.3</v>
      </c>
      <c r="Z38" s="14" t="n">
        <v>66.7</v>
      </c>
      <c r="AA38" s="14" t="n">
        <v>75</v>
      </c>
      <c r="AB38" s="14" t="n">
        <v>83.3</v>
      </c>
      <c r="AC38" s="14" t="n"/>
      <c r="AD38" s="14" t="n"/>
      <c r="AE38" s="15" t="inlineStr">
        <is>
          <t>ดำเนินการ พัฒนาระบบเทคโนโลยีดิ เป็นไปตามแผน (ถึง ต.ค.)</t>
        </is>
      </c>
      <c r="AF38" s="15" t="n"/>
      <c r="AG38" s="16" t="inlineStr">
        <is>
          <t>งานบริหารความเสี่ยง</t>
        </is>
      </c>
      <c r="AH38" s="17" t="n">
        <v>2.08</v>
      </c>
    </row>
    <row r="39" ht="36" customHeight="1">
      <c r="A39" s="11" t="inlineStr">
        <is>
          <t>M_2.4.8</t>
        </is>
      </c>
      <c r="B39" s="11" t="inlineStr">
        <is>
          <t>2.</t>
        </is>
      </c>
      <c r="C39" s="11" t="inlineStr">
        <is>
          <t>2.4</t>
        </is>
      </c>
      <c r="D39" s="12" t="inlineStr">
        <is>
          <t>2.4.8</t>
        </is>
      </c>
      <c r="E39" s="12" t="inlineStr">
        <is>
          <t>ทบทวน ประเมินประสิทธิผล และปรับปรุงกระบวนการบริหารความเสี่ยง</t>
        </is>
      </c>
      <c r="F39" s="11" t="inlineStr">
        <is>
          <t>งานบริหารความเสี่ยง</t>
        </is>
      </c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>
        <v>42.9</v>
      </c>
      <c r="Q39" s="13" t="n">
        <v>85.7</v>
      </c>
      <c r="R39" s="13" t="n">
        <v>142.9</v>
      </c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>
        <v>42.9</v>
      </c>
      <c r="AC39" s="14" t="n"/>
      <c r="AD39" s="14" t="n"/>
      <c r="AE39" s="15" t="inlineStr">
        <is>
          <t>ดำเนินการ ทบทวน ประเมินประสิทธ เป็นไปตามแผน (ถึง ต.ค.)</t>
        </is>
      </c>
      <c r="AF39" s="15" t="n"/>
      <c r="AG39" s="16" t="inlineStr">
        <is>
          <t>งานบริหารความเสี่ยง</t>
        </is>
      </c>
      <c r="AH39" s="17" t="n">
        <v>2.08</v>
      </c>
    </row>
    <row r="40" ht="36" customHeight="1">
      <c r="A40" s="11" t="inlineStr">
        <is>
          <t>M_2.5.1</t>
        </is>
      </c>
      <c r="B40" s="11" t="inlineStr">
        <is>
          <t>2.</t>
        </is>
      </c>
      <c r="C40" s="11" t="inlineStr">
        <is>
          <t>2.5</t>
        </is>
      </c>
      <c r="D40" s="12" t="inlineStr">
        <is>
          <t>2.5.1</t>
        </is>
      </c>
      <c r="E40" s="12" t="inlineStr">
        <is>
          <t>วิเคราะห์ผลกระทบทางธุรกิจ ประเมินความเสี่ยง ทบทวนกลยุทธ์ และ BCP</t>
        </is>
      </c>
      <c r="F40" s="11" t="inlineStr">
        <is>
          <t>งานบริหารความเสี่ยง</t>
        </is>
      </c>
      <c r="G40" s="13" t="n">
        <v>6.7</v>
      </c>
      <c r="H40" s="13" t="n">
        <v>13.3</v>
      </c>
      <c r="I40" s="13" t="n">
        <v>26.7</v>
      </c>
      <c r="J40" s="13" t="n">
        <v>33.3</v>
      </c>
      <c r="K40" s="13" t="n">
        <v>46.7</v>
      </c>
      <c r="L40" s="13" t="n">
        <v>53.3</v>
      </c>
      <c r="M40" s="13" t="n">
        <v>66.7</v>
      </c>
      <c r="N40" s="13" t="n">
        <v>73.3</v>
      </c>
      <c r="O40" s="13" t="n">
        <v>80</v>
      </c>
      <c r="P40" s="13" t="n">
        <v>86.7</v>
      </c>
      <c r="Q40" s="13" t="n">
        <v>93.3</v>
      </c>
      <c r="R40" s="13" t="n">
        <v>100</v>
      </c>
      <c r="S40" s="14" t="n">
        <v>6.7</v>
      </c>
      <c r="T40" s="14" t="n">
        <v>13.3</v>
      </c>
      <c r="U40" s="14" t="n">
        <v>26.7</v>
      </c>
      <c r="V40" s="14" t="n">
        <v>33.3</v>
      </c>
      <c r="W40" s="14" t="n">
        <v>46.7</v>
      </c>
      <c r="X40" s="14" t="n">
        <v>53.3</v>
      </c>
      <c r="Y40" s="14" t="n">
        <v>66.7</v>
      </c>
      <c r="Z40" s="14" t="n">
        <v>73.3</v>
      </c>
      <c r="AA40" s="14" t="n">
        <v>80</v>
      </c>
      <c r="AB40" s="14" t="n">
        <v>86.7</v>
      </c>
      <c r="AC40" s="14" t="n"/>
      <c r="AD40" s="14" t="n"/>
      <c r="AE40" s="15" t="inlineStr">
        <is>
          <t>ดำเนินการ วิเคราะห์ผลกระทบทางธ เป็นไปตามแผน (ถึง ต.ค.)</t>
        </is>
      </c>
      <c r="AF40" s="15" t="n"/>
      <c r="AG40" s="16" t="inlineStr">
        <is>
          <t>งานบริหารความเสี่ยง</t>
        </is>
      </c>
      <c r="AH40" s="17" t="n">
        <v>2.08</v>
      </c>
    </row>
    <row r="41" ht="36" customHeight="1">
      <c r="A41" s="11" t="inlineStr">
        <is>
          <t>M_2.5.2</t>
        </is>
      </c>
      <c r="B41" s="11" t="inlineStr">
        <is>
          <t>2.</t>
        </is>
      </c>
      <c r="C41" s="11" t="inlineStr">
        <is>
          <t>2.5</t>
        </is>
      </c>
      <c r="D41" s="12" t="inlineStr">
        <is>
          <t>2.5.2</t>
        </is>
      </c>
      <c r="E41" s="12" t="inlineStr">
        <is>
          <t>ติดตามและเข้าร่วมฝึกซ้อม BCP ของหน่วยงาน</t>
        </is>
      </c>
      <c r="F41" s="11" t="inlineStr">
        <is>
          <t>งานบริหารความเสี่ยง</t>
        </is>
      </c>
      <c r="G41" s="13" t="n"/>
      <c r="H41" s="13" t="n"/>
      <c r="I41" s="13" t="n">
        <v>5</v>
      </c>
      <c r="J41" s="13" t="n">
        <v>20</v>
      </c>
      <c r="K41" s="13" t="n">
        <v>30</v>
      </c>
      <c r="L41" s="13" t="n">
        <v>40</v>
      </c>
      <c r="M41" s="13" t="n">
        <v>50</v>
      </c>
      <c r="N41" s="13" t="n">
        <v>60</v>
      </c>
      <c r="O41" s="13" t="n">
        <v>70</v>
      </c>
      <c r="P41" s="13" t="n">
        <v>80</v>
      </c>
      <c r="Q41" s="13" t="n">
        <v>90</v>
      </c>
      <c r="R41" s="13" t="n">
        <v>100</v>
      </c>
      <c r="S41" s="14" t="n"/>
      <c r="T41" s="14" t="n"/>
      <c r="U41" s="14" t="n">
        <v>5</v>
      </c>
      <c r="V41" s="14" t="n">
        <v>20</v>
      </c>
      <c r="W41" s="14" t="n">
        <v>30</v>
      </c>
      <c r="X41" s="14" t="n">
        <v>40</v>
      </c>
      <c r="Y41" s="14" t="n">
        <v>50</v>
      </c>
      <c r="Z41" s="14" t="n">
        <v>60</v>
      </c>
      <c r="AA41" s="14" t="n">
        <v>70</v>
      </c>
      <c r="AB41" s="14" t="n">
        <v>80</v>
      </c>
      <c r="AC41" s="14" t="n"/>
      <c r="AD41" s="14" t="n"/>
      <c r="AE41" s="15" t="inlineStr">
        <is>
          <t>ดำเนินการ ติดตามและเข้าร่วมฝึก เป็นไปตามแผน (ถึง ต.ค.)</t>
        </is>
      </c>
      <c r="AF41" s="15" t="n"/>
      <c r="AG41" s="16" t="inlineStr">
        <is>
          <t>งานบริหารความเสี่ยง</t>
        </is>
      </c>
      <c r="AH41" s="17" t="n">
        <v>2.08</v>
      </c>
    </row>
    <row r="42" ht="36" customHeight="1">
      <c r="A42" s="11" t="inlineStr">
        <is>
          <t>M_2.5.3</t>
        </is>
      </c>
      <c r="B42" s="11" t="inlineStr">
        <is>
          <t>2.</t>
        </is>
      </c>
      <c r="C42" s="11" t="inlineStr">
        <is>
          <t>2.5</t>
        </is>
      </c>
      <c r="D42" s="12" t="inlineStr">
        <is>
          <t>2.5.3</t>
        </is>
      </c>
      <c r="E42" s="12" t="inlineStr">
        <is>
          <t>ฝึกซ้อมสถานการณ์ใหญ่</t>
        </is>
      </c>
      <c r="F42" s="11" t="inlineStr">
        <is>
          <t>งานบริหารความเสี่ยง</t>
        </is>
      </c>
      <c r="G42" s="13" t="n"/>
      <c r="H42" s="13" t="n"/>
      <c r="I42" s="13" t="n">
        <v>16.7</v>
      </c>
      <c r="J42" s="13" t="n">
        <v>33.3</v>
      </c>
      <c r="K42" s="13" t="n">
        <v>41.7</v>
      </c>
      <c r="L42" s="13" t="n">
        <v>50</v>
      </c>
      <c r="M42" s="13" t="n">
        <v>58.3</v>
      </c>
      <c r="N42" s="13" t="n">
        <v>66.7</v>
      </c>
      <c r="O42" s="13" t="n">
        <v>75</v>
      </c>
      <c r="P42" s="13" t="n">
        <v>83.3</v>
      </c>
      <c r="Q42" s="13" t="n">
        <v>91.7</v>
      </c>
      <c r="R42" s="13" t="n">
        <v>100</v>
      </c>
      <c r="S42" s="14" t="n"/>
      <c r="T42" s="14" t="n"/>
      <c r="U42" s="14" t="n">
        <v>16.7</v>
      </c>
      <c r="V42" s="14" t="n">
        <v>33.3</v>
      </c>
      <c r="W42" s="14" t="n">
        <v>41.7</v>
      </c>
      <c r="X42" s="14" t="n">
        <v>50</v>
      </c>
      <c r="Y42" s="14" t="n">
        <v>58.3</v>
      </c>
      <c r="Z42" s="14" t="n">
        <v>66.7</v>
      </c>
      <c r="AA42" s="14" t="n">
        <v>75</v>
      </c>
      <c r="AB42" s="14" t="n">
        <v>83.3</v>
      </c>
      <c r="AC42" s="14" t="n"/>
      <c r="AD42" s="14" t="n"/>
      <c r="AE42" s="15" t="inlineStr">
        <is>
          <t>ดำเนินการ ฝึกซ้อมสถานการณ์ใหญ่ เป็นไปตามแผน (ถึง ต.ค.)</t>
        </is>
      </c>
      <c r="AF42" s="15" t="n"/>
      <c r="AG42" s="16" t="inlineStr">
        <is>
          <t>งานบริหารความเสี่ยง</t>
        </is>
      </c>
      <c r="AH42" s="17" t="n">
        <v>2.08</v>
      </c>
    </row>
    <row r="43" ht="36" customHeight="1">
      <c r="A43" s="11" t="inlineStr">
        <is>
          <t>M_2.5.4</t>
        </is>
      </c>
      <c r="B43" s="11" t="inlineStr">
        <is>
          <t>2.</t>
        </is>
      </c>
      <c r="C43" s="11" t="inlineStr">
        <is>
          <t>2.5</t>
        </is>
      </c>
      <c r="D43" s="12" t="inlineStr">
        <is>
          <t>2.5.4</t>
        </is>
      </c>
      <c r="E43" s="12" t="inlineStr">
        <is>
          <t>สร้างความตระหนักและสื่อสารข้อมูลเกี่ยวกับการบริหารความต่อเนื่องทางธุรกิจ</t>
        </is>
      </c>
      <c r="F43" s="11" t="inlineStr">
        <is>
          <t>งานบริหารความเสี่ยง</t>
        </is>
      </c>
      <c r="G43" s="13" t="n">
        <v>3.2</v>
      </c>
      <c r="H43" s="13" t="n">
        <v>12.9</v>
      </c>
      <c r="I43" s="13" t="n">
        <v>22.6</v>
      </c>
      <c r="J43" s="13" t="n">
        <v>32.3</v>
      </c>
      <c r="K43" s="13" t="n">
        <v>41.9</v>
      </c>
      <c r="L43" s="13" t="n">
        <v>51.6</v>
      </c>
      <c r="M43" s="13" t="n">
        <v>61.3</v>
      </c>
      <c r="N43" s="13" t="n">
        <v>71</v>
      </c>
      <c r="O43" s="13" t="n">
        <v>80.59999999999999</v>
      </c>
      <c r="P43" s="13" t="n">
        <v>90.3</v>
      </c>
      <c r="Q43" s="13" t="n">
        <v>100</v>
      </c>
      <c r="R43" s="13" t="n">
        <v>100</v>
      </c>
      <c r="S43" s="14" t="n">
        <v>3.2</v>
      </c>
      <c r="T43" s="14" t="n">
        <v>12.9</v>
      </c>
      <c r="U43" s="14" t="n">
        <v>22.6</v>
      </c>
      <c r="V43" s="14" t="n">
        <v>32.3</v>
      </c>
      <c r="W43" s="14" t="n">
        <v>41.9</v>
      </c>
      <c r="X43" s="14" t="n">
        <v>51.6</v>
      </c>
      <c r="Y43" s="14" t="n">
        <v>61.3</v>
      </c>
      <c r="Z43" s="14" t="n">
        <v>71</v>
      </c>
      <c r="AA43" s="14" t="n">
        <v>80.59999999999999</v>
      </c>
      <c r="AB43" s="14" t="n">
        <v>90.3</v>
      </c>
      <c r="AC43" s="14" t="n"/>
      <c r="AD43" s="14" t="n"/>
      <c r="AE43" s="15" t="inlineStr">
        <is>
          <t>ดำเนินการ สร้างความตระหนักและส เป็นไปตามแผน (ถึง ต.ค.)</t>
        </is>
      </c>
      <c r="AF43" s="15" t="n"/>
      <c r="AG43" s="16" t="inlineStr">
        <is>
          <t>งานบริหารความเสี่ยง</t>
        </is>
      </c>
      <c r="AH43" s="17" t="n">
        <v>2.08</v>
      </c>
    </row>
    <row r="44" ht="54" customHeight="1">
      <c r="A44" s="11" t="inlineStr">
        <is>
          <t>M_2.5.5</t>
        </is>
      </c>
      <c r="B44" s="11" t="inlineStr">
        <is>
          <t>2.</t>
        </is>
      </c>
      <c r="C44" s="11" t="inlineStr">
        <is>
          <t>2.5</t>
        </is>
      </c>
      <c r="D44" s="12" t="inlineStr">
        <is>
          <t>2.5.5</t>
        </is>
      </c>
      <c r="E44" s="12" t="inlineStr">
        <is>
          <t>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F44" s="11" t="inlineStr">
        <is>
          <t>งานบริหารความเสี่ยง</t>
        </is>
      </c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>
        <v>50</v>
      </c>
      <c r="Q44" s="13" t="n">
        <v>80</v>
      </c>
      <c r="R44" s="13" t="n">
        <v>100</v>
      </c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>
        <v>50</v>
      </c>
      <c r="AC44" s="14" t="n"/>
      <c r="AD44" s="14" t="n"/>
      <c r="AE44" s="15" t="inlineStr">
        <is>
          <t>ดำเนินการ ตรวจประเมินภายใน/ภาย เป็นไปตามแผน (ถึง ต.ค.)</t>
        </is>
      </c>
      <c r="AF44" s="15" t="n"/>
      <c r="AG44" s="16" t="inlineStr">
        <is>
          <t>งานบริหารความเสี่ยง</t>
        </is>
      </c>
      <c r="AH44" s="17" t="n">
        <v>2.08</v>
      </c>
    </row>
    <row r="45" ht="54" customHeight="1">
      <c r="A45" s="11" t="inlineStr">
        <is>
          <t>P_3.1</t>
        </is>
      </c>
      <c r="B45" s="11" t="inlineStr">
        <is>
          <t>3.</t>
        </is>
      </c>
      <c r="C45" s="11" t="inlineStr">
        <is>
          <t>3.1</t>
        </is>
      </c>
      <c r="D45" s="12" t="inlineStr">
        <is>
          <t>3.1</t>
        </is>
      </c>
      <c r="E45" s="12" t="inlineStr">
        <is>
          <t>ปรับปรุงฐานข้อมูลที่ใช้ในการวิเคราะห์และติดตามการดำเนินงานแบบบูรณาการในกระบวนการทำงานที่สำคัญ</t>
        </is>
      </c>
      <c r="F45" s="11" t="n"/>
      <c r="G45" s="13" t="n">
        <v>8.300000000000001</v>
      </c>
      <c r="H45" s="13" t="n">
        <v>16.7</v>
      </c>
      <c r="I45" s="13" t="n">
        <v>25</v>
      </c>
      <c r="J45" s="13" t="n">
        <v>33.3</v>
      </c>
      <c r="K45" s="13" t="n">
        <v>41.7</v>
      </c>
      <c r="L45" s="13" t="n">
        <v>50</v>
      </c>
      <c r="M45" s="13" t="n">
        <v>58.3</v>
      </c>
      <c r="N45" s="13" t="n">
        <v>66.7</v>
      </c>
      <c r="O45" s="13" t="n">
        <v>75</v>
      </c>
      <c r="P45" s="13" t="n">
        <v>83.3</v>
      </c>
      <c r="Q45" s="13" t="n">
        <v>91.7</v>
      </c>
      <c r="R45" s="13" t="n">
        <v>100</v>
      </c>
      <c r="S45" s="14" t="n">
        <v>8.300000000000001</v>
      </c>
      <c r="T45" s="14" t="n">
        <v>16.7</v>
      </c>
      <c r="U45" s="14" t="n">
        <v>25</v>
      </c>
      <c r="V45" s="14" t="n">
        <v>33.3</v>
      </c>
      <c r="W45" s="14" t="n">
        <v>41.7</v>
      </c>
      <c r="X45" s="14" t="n">
        <v>50</v>
      </c>
      <c r="Y45" s="14" t="n">
        <v>58.3</v>
      </c>
      <c r="Z45" s="14" t="n">
        <v>66.7</v>
      </c>
      <c r="AA45" s="14" t="n">
        <v>75</v>
      </c>
      <c r="AB45" s="14" t="n">
        <v>83.3</v>
      </c>
      <c r="AC45" s="14" t="n"/>
      <c r="AD45" s="14" t="n"/>
      <c r="AE45" s="15" t="inlineStr">
        <is>
          <t>ดำเนินการ ปรับปรุงฐานข้อมูลที่ เป็นไปตามแผน (ถึง ต.ค.)</t>
        </is>
      </c>
      <c r="AF45" s="15" t="n"/>
      <c r="AG45" s="16" t="inlineStr">
        <is>
          <t>-</t>
        </is>
      </c>
      <c r="AH45" s="17" t="n">
        <v>2.08</v>
      </c>
    </row>
    <row r="46" ht="54" customHeight="1">
      <c r="A46" s="11" t="inlineStr">
        <is>
          <t>P_3.2</t>
        </is>
      </c>
      <c r="B46" s="11" t="inlineStr">
        <is>
          <t>3.</t>
        </is>
      </c>
      <c r="C46" s="11" t="inlineStr">
        <is>
          <t>3.2</t>
        </is>
      </c>
      <c r="D46" s="12" t="inlineStr">
        <is>
          <t>3.2</t>
        </is>
      </c>
      <c r="E46" s="12" t="inlineStr">
        <is>
          <t>ใช้งานระบบ GRC เพื่อสนับสนุนการทำงานให้ลดความซับซ้อน ลดระยะเวลา และมีความถูกต้องแม่นยำ</t>
        </is>
      </c>
      <c r="F46" s="11" t="n"/>
      <c r="G46" s="13" t="n">
        <v>8.300000000000001</v>
      </c>
      <c r="H46" s="13" t="n">
        <v>16.7</v>
      </c>
      <c r="I46" s="13" t="n">
        <v>25</v>
      </c>
      <c r="J46" s="13" t="n">
        <v>33.3</v>
      </c>
      <c r="K46" s="13" t="n">
        <v>41.7</v>
      </c>
      <c r="L46" s="13" t="n">
        <v>50</v>
      </c>
      <c r="M46" s="13" t="n">
        <v>58.3</v>
      </c>
      <c r="N46" s="13" t="n">
        <v>66.7</v>
      </c>
      <c r="O46" s="13" t="n">
        <v>75</v>
      </c>
      <c r="P46" s="13" t="n">
        <v>83.3</v>
      </c>
      <c r="Q46" s="13" t="n">
        <v>91.7</v>
      </c>
      <c r="R46" s="13" t="n">
        <v>100</v>
      </c>
      <c r="S46" s="14" t="n">
        <v>8.300000000000001</v>
      </c>
      <c r="T46" s="14" t="n">
        <v>16.7</v>
      </c>
      <c r="U46" s="14" t="n">
        <v>25</v>
      </c>
      <c r="V46" s="14" t="n">
        <v>33.3</v>
      </c>
      <c r="W46" s="14" t="n">
        <v>41.7</v>
      </c>
      <c r="X46" s="14" t="n">
        <v>50</v>
      </c>
      <c r="Y46" s="14" t="n">
        <v>58.3</v>
      </c>
      <c r="Z46" s="14" t="n">
        <v>66.7</v>
      </c>
      <c r="AA46" s="14" t="n">
        <v>75</v>
      </c>
      <c r="AB46" s="14" t="n">
        <v>83.3</v>
      </c>
      <c r="AC46" s="14" t="n"/>
      <c r="AD46" s="14" t="n"/>
      <c r="AE46" s="15" t="inlineStr">
        <is>
          <t>ดำเนินการ ใช้งานระบบ GRC เพื่อ เป็นไปตามแผน (ถึง ต.ค.)</t>
        </is>
      </c>
      <c r="AF46" s="15" t="n"/>
      <c r="AG46" s="16" t="inlineStr">
        <is>
          <t>-</t>
        </is>
      </c>
      <c r="AH46" s="17" t="n">
        <v>2.08</v>
      </c>
    </row>
    <row r="47" ht="90" customHeight="1">
      <c r="A47" s="11" t="inlineStr">
        <is>
          <t>P_3.3</t>
        </is>
      </c>
      <c r="B47" s="11" t="inlineStr">
        <is>
          <t>3.</t>
        </is>
      </c>
      <c r="C47" s="11" t="inlineStr">
        <is>
          <t>3.3</t>
        </is>
      </c>
      <c r="D47" s="12" t="inlineStr">
        <is>
          <t>3.3</t>
        </is>
      </c>
      <c r="E47" s="12" t="inlineStr">
        <is>
          <t>ทบทวนการทำ Value Creation และ Value Enhancement ที่เชื่อมโยงกับกระบวนการกำหนดตำแหน่งเชิงยุทธศาสตร์ วัตถุประสงค์เชิงยุทธศาสตร์ แผนยุทธศาสตร์องค์กร และแผนแม่บทอื่นๆ ที่เกี่ยวข้องอย่างต่อเนื่อง</t>
        </is>
      </c>
      <c r="F47" s="11" t="n"/>
      <c r="G47" s="13" t="n">
        <v>8.300000000000001</v>
      </c>
      <c r="H47" s="13" t="n">
        <v>16.7</v>
      </c>
      <c r="I47" s="13" t="n">
        <v>25</v>
      </c>
      <c r="J47" s="13" t="n">
        <v>33.3</v>
      </c>
      <c r="K47" s="13" t="n">
        <v>41.7</v>
      </c>
      <c r="L47" s="13" t="n">
        <v>50</v>
      </c>
      <c r="M47" s="13" t="n">
        <v>58.3</v>
      </c>
      <c r="N47" s="13" t="n">
        <v>66.7</v>
      </c>
      <c r="O47" s="13" t="n">
        <v>75</v>
      </c>
      <c r="P47" s="13" t="n">
        <v>83.3</v>
      </c>
      <c r="Q47" s="13" t="n">
        <v>91.7</v>
      </c>
      <c r="R47" s="13" t="n">
        <v>100</v>
      </c>
      <c r="S47" s="14" t="n">
        <v>8.300000000000001</v>
      </c>
      <c r="T47" s="14" t="n">
        <v>16.7</v>
      </c>
      <c r="U47" s="14" t="n">
        <v>25</v>
      </c>
      <c r="V47" s="14" t="n">
        <v>33.3</v>
      </c>
      <c r="W47" s="14" t="n">
        <v>41.7</v>
      </c>
      <c r="X47" s="14" t="n">
        <v>50</v>
      </c>
      <c r="Y47" s="14" t="n">
        <v>58.3</v>
      </c>
      <c r="Z47" s="14" t="n">
        <v>66.7</v>
      </c>
      <c r="AA47" s="14" t="n">
        <v>75</v>
      </c>
      <c r="AB47" s="14" t="n">
        <v>83.3</v>
      </c>
      <c r="AC47" s="14" t="n"/>
      <c r="AD47" s="14" t="n"/>
      <c r="AE47" s="15" t="inlineStr">
        <is>
          <t>ดำเนินการ ทบทวนการทำ Value Cre เป็นไปตามแผน (ถึง ต.ค.)</t>
        </is>
      </c>
      <c r="AF47" s="15" t="inlineStr">
        <is>
          <t>ล่าช้ากว่าแผน ติดขั้นตอนอนุมัติ</t>
        </is>
      </c>
      <c r="AG47" s="16" t="inlineStr">
        <is>
          <t>-</t>
        </is>
      </c>
      <c r="AH47" s="17" t="n">
        <v>2.08</v>
      </c>
    </row>
    <row r="48" ht="36" customHeight="1">
      <c r="A48" s="11" t="inlineStr">
        <is>
          <t>P_3.4</t>
        </is>
      </c>
      <c r="B48" s="11" t="inlineStr">
        <is>
          <t>3.</t>
        </is>
      </c>
      <c r="C48" s="11" t="inlineStr">
        <is>
          <t>3.4</t>
        </is>
      </c>
      <c r="D48" s="12" t="inlineStr">
        <is>
          <t>3.4</t>
        </is>
      </c>
      <c r="E48" s="12" t="inlineStr">
        <is>
          <t>กำหนดกระบวนการในการวิเคราะห์ถึงภาพรวมของความเสี่ยง (Portfolio View of Risk)</t>
        </is>
      </c>
      <c r="F48" s="11" t="n"/>
      <c r="G48" s="13" t="n">
        <v>8.300000000000001</v>
      </c>
      <c r="H48" s="13" t="n">
        <v>16.7</v>
      </c>
      <c r="I48" s="13" t="n">
        <v>25</v>
      </c>
      <c r="J48" s="13" t="n">
        <v>33.3</v>
      </c>
      <c r="K48" s="13" t="n">
        <v>41.7</v>
      </c>
      <c r="L48" s="13" t="n">
        <v>50</v>
      </c>
      <c r="M48" s="13" t="n">
        <v>58.3</v>
      </c>
      <c r="N48" s="13" t="n">
        <v>66.7</v>
      </c>
      <c r="O48" s="13" t="n">
        <v>75</v>
      </c>
      <c r="P48" s="13" t="n">
        <v>83.3</v>
      </c>
      <c r="Q48" s="13" t="n">
        <v>91.7</v>
      </c>
      <c r="R48" s="13" t="n">
        <v>100</v>
      </c>
      <c r="S48" s="14" t="n">
        <v>8.300000000000001</v>
      </c>
      <c r="T48" s="14" t="n">
        <v>16.7</v>
      </c>
      <c r="U48" s="14" t="n">
        <v>25</v>
      </c>
      <c r="V48" s="14" t="n">
        <v>33.3</v>
      </c>
      <c r="W48" s="14" t="n">
        <v>41.7</v>
      </c>
      <c r="X48" s="14" t="n">
        <v>50</v>
      </c>
      <c r="Y48" s="14" t="n">
        <v>58.3</v>
      </c>
      <c r="Z48" s="14" t="n">
        <v>66.7</v>
      </c>
      <c r="AA48" s="14" t="n">
        <v>75</v>
      </c>
      <c r="AB48" s="14" t="n">
        <v>83.3</v>
      </c>
      <c r="AC48" s="14" t="n"/>
      <c r="AD48" s="14" t="n"/>
      <c r="AE48" s="15" t="inlineStr">
        <is>
          <t>ดำเนินการ กำหนดกระบวนการในการว เป็นไปตามแผน (ถึง ต.ค.)</t>
        </is>
      </c>
      <c r="AF48" s="15" t="n"/>
      <c r="AG48" s="16" t="inlineStr">
        <is>
          <t>-</t>
        </is>
      </c>
      <c r="AH48" s="17" t="n">
        <v>2.08</v>
      </c>
    </row>
    <row r="49" ht="54" customHeight="1">
      <c r="A49" s="11" t="inlineStr">
        <is>
          <t>P_3.5</t>
        </is>
      </c>
      <c r="B49" s="11" t="inlineStr">
        <is>
          <t>3.</t>
        </is>
      </c>
      <c r="C49" s="11" t="inlineStr">
        <is>
          <t>3.5</t>
        </is>
      </c>
      <c r="D49" s="12" t="inlineStr">
        <is>
          <t>3.5</t>
        </is>
      </c>
      <c r="E49" s="12" t="inlineStr">
        <is>
          <t>พัฒนา Portfolio View of Risk แสดงการจัดทำแบบจำลองที่เหมาะสม/นำแบบจำลองดังกล่าวไปใช้ในการบริหารความเสี่ยงในภาพรวม</t>
        </is>
      </c>
      <c r="F49" s="11" t="n"/>
      <c r="G49" s="13" t="n">
        <v>8.300000000000001</v>
      </c>
      <c r="H49" s="13" t="n">
        <v>16.7</v>
      </c>
      <c r="I49" s="13" t="n">
        <v>25</v>
      </c>
      <c r="J49" s="13" t="n">
        <v>33.3</v>
      </c>
      <c r="K49" s="13" t="n">
        <v>41.7</v>
      </c>
      <c r="L49" s="13" t="n">
        <v>50</v>
      </c>
      <c r="M49" s="13" t="n">
        <v>58.3</v>
      </c>
      <c r="N49" s="13" t="n">
        <v>66.7</v>
      </c>
      <c r="O49" s="13" t="n">
        <v>75</v>
      </c>
      <c r="P49" s="13" t="n">
        <v>83.3</v>
      </c>
      <c r="Q49" s="13" t="n">
        <v>91.7</v>
      </c>
      <c r="R49" s="13" t="n">
        <v>100</v>
      </c>
      <c r="S49" s="14" t="n">
        <v>8.300000000000001</v>
      </c>
      <c r="T49" s="14" t="n">
        <v>16.7</v>
      </c>
      <c r="U49" s="14" t="n">
        <v>25</v>
      </c>
      <c r="V49" s="14" t="n">
        <v>33.3</v>
      </c>
      <c r="W49" s="14" t="n">
        <v>41.7</v>
      </c>
      <c r="X49" s="14" t="n">
        <v>50</v>
      </c>
      <c r="Y49" s="14" t="n">
        <v>58.3</v>
      </c>
      <c r="Z49" s="14" t="n">
        <v>66.7</v>
      </c>
      <c r="AA49" s="14" t="n">
        <v>75</v>
      </c>
      <c r="AB49" s="14" t="n">
        <v>83.3</v>
      </c>
      <c r="AC49" s="14" t="n"/>
      <c r="AD49" s="14" t="n"/>
      <c r="AE49" s="15" t="inlineStr">
        <is>
          <t>ดำเนินการ พัฒนา Portfolio View เป็นไปตามแผน (ถึง ต.ค.)</t>
        </is>
      </c>
      <c r="AF49" s="15" t="n"/>
      <c r="AG49" s="16" t="inlineStr">
        <is>
          <t>-</t>
        </is>
      </c>
      <c r="AH49" s="17" t="n">
        <v>2.08</v>
      </c>
    </row>
  </sheetData>
  <dataValidations count="1">
    <dataValidation sqref="G2:AD49" showDropDown="0" showInputMessage="0" showErrorMessage="0" allowBlank="1" type="whole">
      <formula1>0</formula1>
      <formula2>100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ColWidth="8.81640625" defaultRowHeight="14.5"/>
  <cols>
    <col width="10" customWidth="1" min="1" max="1"/>
    <col width="92" customWidth="1" min="2" max="2"/>
  </cols>
  <sheetData>
    <row r="1" ht="17" customHeight="1">
      <c r="A1" s="7" t="inlineStr">
        <is>
          <t>วิธีกรอกและนำเข้า Dashboard</t>
        </is>
      </c>
      <c r="B1" s="8" t="n"/>
    </row>
    <row r="2">
      <c r="A2" s="9" t="n"/>
      <c r="B2" s="8" t="n"/>
    </row>
    <row r="3" ht="29" customHeight="1">
      <c r="A3" s="9" t="inlineStr">
        <is>
          <t>1)</t>
        </is>
      </c>
      <c r="B3" s="8" t="inlineStr">
        <is>
          <t>ชีต "บันทึกผล" — แต่ละแถวคือกิจกรรม 1 ข้อ (48 แถว) (คอลัมน์ 1-6 และ "ถ่วงน้ำหนัก(%)" เติมให้แล้ว ห้ามแก้รหัส/น้ำหนัก)</t>
        </is>
      </c>
    </row>
    <row r="4">
      <c r="A4" s="9" t="inlineStr">
        <is>
          <t>2)</t>
        </is>
      </c>
      <c r="B4" s="8" t="inlineStr">
        <is>
          <t>กลุ่ม "เป้า ม.ค.–ธ.ค." (พื้นเหลือง) = ค่าเป้าหมาย % สะสม — พรีฟิลตามแผนให้แล้ว แก้ได้ตามต้องการ</t>
        </is>
      </c>
    </row>
    <row r="5">
      <c r="A5" s="9" t="inlineStr">
        <is>
          <t>3)</t>
        </is>
      </c>
      <c r="B5" s="8" t="inlineStr">
        <is>
          <t>กลุ่ม "ผล ม.ค.–ธ.ค." (พื้นฟ้า) = % ผลจริงสะสม กรอกเฉพาะเดือนที่อัปเดต</t>
        </is>
      </c>
    </row>
    <row r="6">
      <c r="A6" s="9" t="n"/>
      <c r="B6" s="8" t="inlineStr">
        <is>
          <t xml:space="preserve">   เดือนที่เว้นว่าง ระบบถือว่าคงค่าล่าสุด (ทั้งเป้าหมายและผลจริง)</t>
        </is>
      </c>
    </row>
    <row r="7">
      <c r="A7" s="9" t="inlineStr">
        <is>
          <t>4)</t>
        </is>
      </c>
      <c r="B7" s="8" t="inlineStr">
        <is>
          <t>รายละเอียด/ปัญหา/ผู้รายงาน = ของเดือนล่าสุด</t>
        </is>
      </c>
    </row>
    <row r="8">
      <c r="A8" s="9" t="n"/>
      <c r="B8" s="8" t="n"/>
    </row>
    <row r="9" ht="17" customHeight="1">
      <c r="A9" s="7" t="inlineStr">
        <is>
          <t>แปลงเข้า GitHub:</t>
        </is>
      </c>
      <c r="B9" s="8" t="n"/>
    </row>
    <row r="10">
      <c r="A10" s="9" t="inlineStr">
        <is>
          <t>5)</t>
        </is>
      </c>
      <c r="B10" s="8" t="inlineStr">
        <is>
          <t>python3 ระบบสร้าง_Dashboard/convert_to_csv.py   → สร้าง data/rm_actual.csv + อัปเดต index.html</t>
        </is>
      </c>
    </row>
    <row r="11">
      <c r="A11" s="9" t="inlineStr">
        <is>
          <t>6)</t>
        </is>
      </c>
      <c r="B11" s="8" t="inlineStr">
        <is>
          <t>git add -A &amp;&amp; git commit -m "update" &amp;&amp; git push</t>
        </is>
      </c>
    </row>
    <row r="12">
      <c r="A12" s="9" t="n"/>
      <c r="B12" s="8" t="n"/>
    </row>
    <row r="13" ht="29" customHeight="1">
      <c r="A13" s="9" t="inlineStr">
        <is>
          <t>หมายเหตุ</t>
        </is>
      </c>
      <c r="B13" s="8" t="inlineStr">
        <is>
          <t>เป้าหมายทุกระดับใน Dashboard (48 กิจกรรม, 3 กล่องแผนหลัก, กราฟ S-Curve/แท่ง) อ้างอิงจากคอลัมน์ "เป้า" ในไฟล์นี้ทั้งหมด</t>
        </is>
      </c>
    </row>
    <row r="14" ht="29" customHeight="1">
      <c r="A14" s="9" t="n"/>
      <c r="B14" s="8" t="inlineStr">
        <is>
          <t>ตัวเลขเป้าหมายระดับแผนหลักคือค่าเฉลี่ยถ่วงน้ำหนัก (ตามคอลัมน์ "ถ่วงน้ำหนัก(%)") ของกิจกรรมในแผนนั้น — ดูสูตรจริงได้ที่ชีต "สรุปเป้าหมายตามแผน"</t>
        </is>
      </c>
    </row>
    <row r="15" ht="29" customHeight="1">
      <c r="A15" s="9" t="n"/>
      <c r="B15" s="8" t="inlineStr">
        <is>
          <t>ชีต "สรุปเป้าหมายตามแผน" คำนวณสดด้วยสูตร SUMPRODUCT จากคอลัมน์เป้า+น้ำหนัก แก้เป้าหมายกิจกรรมใดก็ตาม ตัวเลขแผนหลักในชีตนี้จะขยับให้อัตโนมัติ (ตรงกับที่ Dashboard จะแสดง)</t>
        </is>
      </c>
    </row>
    <row r="16">
      <c r="A16" s="9" t="n"/>
      <c r="B16" s="8" t="inlineStr">
        <is>
          <t>สถานะงานคำนวณจากผลจริง: 100=เสร็จสิ้น · 1-99=อยู่ระหว่างดำเนินการ · 0/ว่าง=ยังไม่ดำเนินการ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1640625" defaultRowHeight="14.5"/>
  <cols>
    <col width="15" customWidth="1" min="1" max="1"/>
    <col width="8" customWidth="1" min="2" max="2"/>
    <col width="42" customWidth="1" min="3" max="3"/>
    <col width="8" customWidth="1" min="4" max="4"/>
    <col width="40" customWidth="1" min="5" max="16"/>
  </cols>
  <sheetData>
    <row r="1" ht="22" customHeight="1">
      <c r="A1" s="1" t="inlineStr">
        <is>
          <t>รหัสกิจกรรม</t>
        </is>
      </c>
      <c r="B1" s="1" t="inlineStr">
        <is>
          <t>รหัส</t>
        </is>
      </c>
      <c r="C1" s="1" t="inlineStr">
        <is>
          <t>ชื่อกิจกรรม/มาตรการ</t>
        </is>
      </c>
      <c r="D1" s="1" t="inlineStr">
        <is>
          <t>แผนหลัก</t>
        </is>
      </c>
      <c r="E1" s="1" t="inlineStr">
        <is>
          <t>สรุป ม.ค.</t>
        </is>
      </c>
      <c r="F1" s="1" t="inlineStr">
        <is>
          <t>สรุป ก.พ.</t>
        </is>
      </c>
      <c r="G1" s="1" t="inlineStr">
        <is>
          <t>สรุป มี.ค.</t>
        </is>
      </c>
      <c r="H1" s="1" t="inlineStr">
        <is>
          <t>สรุป เม.ย.</t>
        </is>
      </c>
      <c r="I1" s="1" t="inlineStr">
        <is>
          <t>สรุป พ.ค.</t>
        </is>
      </c>
      <c r="J1" s="1" t="inlineStr">
        <is>
          <t>สรุป มิ.ย.</t>
        </is>
      </c>
      <c r="K1" s="1" t="inlineStr">
        <is>
          <t>สรุป ก.ค.</t>
        </is>
      </c>
      <c r="L1" s="1" t="inlineStr">
        <is>
          <t>สรุป ส.ค.</t>
        </is>
      </c>
      <c r="M1" s="1" t="inlineStr">
        <is>
          <t>สรุป ก.ย.</t>
        </is>
      </c>
      <c r="N1" s="1" t="inlineStr">
        <is>
          <t>สรุป ต.ค.</t>
        </is>
      </c>
      <c r="O1" s="1" t="inlineStr">
        <is>
          <t>สรุป พ.ย.</t>
        </is>
      </c>
      <c r="P1" s="1" t="inlineStr">
        <is>
          <t>สรุป ธ.ค.</t>
        </is>
      </c>
    </row>
    <row r="2" ht="43.5" customHeight="1">
      <c r="A2" s="5" t="inlineStr">
        <is>
          <t>P_1.1</t>
        </is>
      </c>
      <c r="B2" s="5" t="inlineStr">
        <is>
          <t>1.1</t>
        </is>
      </c>
      <c r="C2" s="5" t="inlineStr">
        <is>
          <t>การปรับปรุงโครงสร้างการดำเนินงานด้าน GRC เพื่อการดำเนินงานระดับสายงาน</t>
        </is>
      </c>
      <c r="D2" s="5" t="inlineStr">
        <is>
          <t>1.</t>
        </is>
      </c>
      <c r="E2" s="6" t="inlineStr">
        <is>
          <t>ดำเนินการ การปรับปรุงโครงสร้างการดำเนินง ตามแผนในเดือนม.ค. (สรุปย่อ — แก้เป็นเนื้อหาจริงได้)</t>
        </is>
      </c>
      <c r="F2" s="6" t="inlineStr">
        <is>
          <t>ดำเนินการ การปรับปรุงโครงสร้างการดำเนินง ตามแผนในเดือนก.พ. (สรุปย่อ — แก้เป็นเนื้อหาจริงได้)</t>
        </is>
      </c>
      <c r="G2" s="6" t="inlineStr">
        <is>
          <t>ดำเนินการ การปรับปรุงโครงสร้างการดำเนินง ตามแผนในเดือนมี.ค. (สรุปย่อ — แก้เป็นเนื้อหาจริงได้)</t>
        </is>
      </c>
      <c r="H2" s="6" t="inlineStr">
        <is>
          <t>ดำเนินการ การปรับปรุงโครงสร้างการดำเนินง ตามแผนในเดือนเม.ย. (สรุปย่อ — แก้เป็นเนื้อหาจริงได้)</t>
        </is>
      </c>
      <c r="I2" s="6" t="inlineStr">
        <is>
          <t>ดำเนินการ การปรับปรุงโครงสร้างการดำเนินง ตามแผนในเดือนพ.ค. (สรุปย่อ — แก้เป็นเนื้อหาจริงได้)</t>
        </is>
      </c>
      <c r="J2" s="6" t="inlineStr">
        <is>
          <t>ดำเนินการ การปรับปรุงโครงสร้างการดำเนินง ตามแผนในเดือนมิ.ย. (สรุปย่อ — แก้เป็นเนื้อหาจริงได้)</t>
        </is>
      </c>
      <c r="K2" s="6" t="n"/>
      <c r="L2" s="6" t="n"/>
      <c r="M2" s="6" t="n"/>
      <c r="N2" s="6" t="n"/>
      <c r="O2" s="6" t="n"/>
      <c r="P2" s="6" t="n"/>
    </row>
    <row r="3" ht="43.5" customHeight="1">
      <c r="A3" s="5" t="inlineStr">
        <is>
          <t>P_1.2</t>
        </is>
      </c>
      <c r="B3" s="5" t="inlineStr">
        <is>
          <t>1.2</t>
        </is>
      </c>
      <c r="C3" s="5" t="inlineStr">
        <is>
          <t>โครงสร้างหน่วยงานที่ทำหน้าที่รับผิดชอบการกำกับดูแลด้าน IT Risk และ IT Compliance (รวมถึงระบบเทคโนโลยีดิจิทัล และ AI) (2nd line)</t>
        </is>
      </c>
      <c r="D3" s="5" t="inlineStr">
        <is>
          <t>1.</t>
        </is>
      </c>
      <c r="E3" s="6" t="inlineStr">
        <is>
          <t>ดำเนินการ โครงสร้างหน่วยงานที่ทำหน้าที่ร ตามแผนในเดือนม.ค. (สรุปย่อ — แก้เป็นเนื้อหาจริงได้)</t>
        </is>
      </c>
      <c r="F3" s="6" t="inlineStr">
        <is>
          <t>ดำเนินการ โครงสร้างหน่วยงานที่ทำหน้าที่ร ตามแผนในเดือนก.พ. (สรุปย่อ — แก้เป็นเนื้อหาจริงได้)</t>
        </is>
      </c>
      <c r="G3" s="6" t="inlineStr">
        <is>
          <t>ดำเนินการ โครงสร้างหน่วยงานที่ทำหน้าที่ร ตามแผนในเดือนมี.ค. (สรุปย่อ — แก้เป็นเนื้อหาจริงได้)</t>
        </is>
      </c>
      <c r="H3" s="6" t="inlineStr">
        <is>
          <t>ดำเนินการ โครงสร้างหน่วยงานที่ทำหน้าที่ร ตามแผนในเดือนเม.ย. (สรุปย่อ — แก้เป็นเนื้อหาจริงได้)</t>
        </is>
      </c>
      <c r="I3" s="6" t="inlineStr">
        <is>
          <t>ดำเนินการ โครงสร้างหน่วยงานที่ทำหน้าที่ร ตามแผนในเดือนพ.ค. (สรุปย่อ — แก้เป็นเนื้อหาจริงได้)</t>
        </is>
      </c>
      <c r="J3" s="6" t="inlineStr">
        <is>
          <t>ดำเนินการ โครงสร้างหน่วยงานที่ทำหน้าที่ร ตามแผนในเดือนมิ.ย. (สรุปย่อ — แก้เป็นเนื้อหาจริงได้)</t>
        </is>
      </c>
      <c r="K3" s="6" t="n"/>
      <c r="L3" s="6" t="n"/>
      <c r="M3" s="6" t="n"/>
      <c r="N3" s="6" t="n"/>
      <c r="O3" s="6" t="n"/>
      <c r="P3" s="6" t="n"/>
    </row>
    <row r="4" ht="43.5" customHeight="1">
      <c r="A4" s="5" t="inlineStr">
        <is>
          <t>P_1.3</t>
        </is>
      </c>
      <c r="B4" s="5" t="inlineStr">
        <is>
          <t>1.3</t>
        </is>
      </c>
      <c r="C4" s="5" t="inlineStr">
        <is>
          <t>การจัดทำ Risk Taxonomy เพื่อความสอดคล้องในการระบุ และจัดประเภทความเสี่ยง</t>
        </is>
      </c>
      <c r="D4" s="5" t="inlineStr">
        <is>
          <t>1.</t>
        </is>
      </c>
      <c r="E4" s="6" t="inlineStr">
        <is>
          <t>ดำเนินการ การจัดทำ Risk Taxonomy เพื่อคว ตามแผนในเดือนม.ค. (สรุปย่อ — แก้เป็นเนื้อหาจริงได้)</t>
        </is>
      </c>
      <c r="F4" s="6" t="inlineStr">
        <is>
          <t>ดำเนินการ การจัดทำ Risk Taxonomy เพื่อคว ตามแผนในเดือนก.พ. (สรุปย่อ — แก้เป็นเนื้อหาจริงได้)</t>
        </is>
      </c>
      <c r="G4" s="6" t="inlineStr">
        <is>
          <t>ดำเนินการ การจัดทำ Risk Taxonomy เพื่อคว ตามแผนในเดือนมี.ค. (สรุปย่อ — แก้เป็นเนื้อหาจริงได้)</t>
        </is>
      </c>
      <c r="H4" s="6" t="inlineStr">
        <is>
          <t>ดำเนินการ การจัดทำ Risk Taxonomy เพื่อคว ตามแผนในเดือนเม.ย. (สรุปย่อ — แก้เป็นเนื้อหาจริงได้)</t>
        </is>
      </c>
      <c r="I4" s="6" t="inlineStr">
        <is>
          <t>ดำเนินการ การจัดทำ Risk Taxonomy เพื่อคว ตามแผนในเดือนพ.ค. (สรุปย่อ — แก้เป็นเนื้อหาจริงได้)</t>
        </is>
      </c>
      <c r="J4" s="6" t="inlineStr">
        <is>
          <t>ดำเนินการ การจัดทำ Risk Taxonomy เพื่อคว ตามแผนในเดือนมิ.ย. (สรุปย่อ — แก้เป็นเนื้อหาจริงได้)</t>
        </is>
      </c>
      <c r="K4" s="6" t="n"/>
      <c r="L4" s="6" t="n"/>
      <c r="M4" s="6" t="n"/>
      <c r="N4" s="6" t="n"/>
      <c r="O4" s="6" t="n"/>
      <c r="P4" s="6" t="n"/>
    </row>
    <row r="5" ht="43.5" customHeight="1">
      <c r="A5" s="5" t="inlineStr">
        <is>
          <t>P_1.4</t>
        </is>
      </c>
      <c r="B5" s="5" t="inlineStr">
        <is>
          <t>1.4</t>
        </is>
      </c>
      <c r="C5" s="5" t="inlineStr">
        <is>
          <t>การวิเคราะห์ตัวชี้วัดความเสี่ยง (KRI) เพื่อวิเคราะห์แนวโน้ม และคาดการณ์เหตุการณ์ความเสี่ยง</t>
        </is>
      </c>
      <c r="D5" s="5" t="inlineStr">
        <is>
          <t>1.</t>
        </is>
      </c>
      <c r="E5" s="6" t="n"/>
      <c r="F5" s="6" t="n"/>
      <c r="G5" s="6" t="n"/>
      <c r="H5" s="6" t="inlineStr">
        <is>
          <t>ดำเนินการ การวิเคราะห์ตัวชี้วัดความเสี่ย ตามแผนในเดือนเม.ย. (สรุปย่อ — แก้เป็นเนื้อหาจริงได้)</t>
        </is>
      </c>
      <c r="I5" s="6" t="inlineStr">
        <is>
          <t>ดำเนินการ การวิเคราะห์ตัวชี้วัดความเสี่ย ตามแผนในเดือนพ.ค. (สรุปย่อ — แก้เป็นเนื้อหาจริงได้)</t>
        </is>
      </c>
      <c r="J5" s="6" t="inlineStr">
        <is>
          <t>ดำเนินการ การวิเคราะห์ตัวชี้วัดความเสี่ย ตามแผนในเดือนมิ.ย. (สรุปย่อ — แก้เป็นเนื้อหาจริงได้)</t>
        </is>
      </c>
      <c r="K5" s="6" t="n"/>
      <c r="L5" s="6" t="n"/>
      <c r="M5" s="6" t="n"/>
      <c r="N5" s="6" t="n"/>
      <c r="O5" s="6" t="n"/>
      <c r="P5" s="6" t="n"/>
    </row>
    <row r="6" ht="29" customHeight="1">
      <c r="A6" s="5" t="inlineStr">
        <is>
          <t>P_1.5</t>
        </is>
      </c>
      <c r="B6" s="5" t="inlineStr">
        <is>
          <t>1.5</t>
        </is>
      </c>
      <c r="C6" s="5" t="inlineStr">
        <is>
          <t>การสร้างวัฒนธรรม GRC ผ่าน GRC Survey และการสนทนากลุ่ม (Focus Group)</t>
        </is>
      </c>
      <c r="D6" s="5" t="inlineStr">
        <is>
          <t>1.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 ht="43.5" customHeight="1">
      <c r="A7" s="5" t="inlineStr">
        <is>
          <t>P_1.6</t>
        </is>
      </c>
      <c r="B7" s="5" t="inlineStr">
        <is>
          <t>1.6</t>
        </is>
      </c>
      <c r="C7" s="5" t="inlineStr">
        <is>
          <t>การพัฒนากระบวนการจัดทำหลักสูตรอบรมโดยอ้างอิงความเสี่ยง (Risk-based training) และติดตามผลการอบรม</t>
        </is>
      </c>
      <c r="D7" s="5" t="inlineStr">
        <is>
          <t>1.</t>
        </is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29" customHeight="1">
      <c r="A8" s="5" t="inlineStr">
        <is>
          <t>P_1.7</t>
        </is>
      </c>
      <c r="B8" s="5" t="inlineStr">
        <is>
          <t>1.7</t>
        </is>
      </c>
      <c r="C8" s="5" t="inlineStr">
        <is>
          <t>การเชื่อมโยงการปฏิบัติงานด้าน GRC กับสิ่งจูงใจ (Incentive) หรือผลการปฏิบัติงาน (Performance)</t>
        </is>
      </c>
      <c r="D8" s="5" t="inlineStr">
        <is>
          <t>1.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 ht="43.5" customHeight="1">
      <c r="A9" s="5" t="inlineStr">
        <is>
          <t>P_1.8</t>
        </is>
      </c>
      <c r="B9" s="5" t="inlineStr">
        <is>
          <t>1.8</t>
        </is>
      </c>
      <c r="C9" s="5" t="inlineStr">
        <is>
          <t>การปรับปรุงนโยบายการกำกับการปฏิบัติตามกฎ ระเบียบและจัดทำนโยบาย IT Third Party Risk Management</t>
        </is>
      </c>
      <c r="D9" s="5" t="inlineStr">
        <is>
          <t>1.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43.5" customHeight="1">
      <c r="A10" s="5" t="inlineStr">
        <is>
          <t>P_1.9</t>
        </is>
      </c>
      <c r="B10" s="5" t="inlineStr">
        <is>
          <t>1.9</t>
        </is>
      </c>
      <c r="C10" s="5" t="inlineStr">
        <is>
          <t>การผลักดันให้มีหน่วยงานกลางกำกับและรวบรวมนโยบาย</t>
        </is>
      </c>
      <c r="D10" s="5" t="inlineStr">
        <is>
          <t>1.</t>
        </is>
      </c>
      <c r="E10" s="6" t="inlineStr">
        <is>
          <t>ดำเนินการ การผลักดันให้มีหน่วยงานกลางกำก ตามแผนในเดือนม.ค. (สรุปย่อ — แก้เป็นเนื้อหาจริงได้)</t>
        </is>
      </c>
      <c r="F10" s="6" t="inlineStr">
        <is>
          <t>ดำเนินการ การผลักดันให้มีหน่วยงานกลางกำก ตามแผนในเดือนก.พ. (สรุปย่อ — แก้เป็นเนื้อหาจริงได้)</t>
        </is>
      </c>
      <c r="G10" s="6" t="inlineStr">
        <is>
          <t>ดำเนินการ การผลักดันให้มีหน่วยงานกลางกำก ตามแผนในเดือนมี.ค. (สรุปย่อ — แก้เป็นเนื้อหาจริงได้)</t>
        </is>
      </c>
      <c r="H10" s="6" t="inlineStr">
        <is>
          <t>ดำเนินการ การผลักดันให้มีหน่วยงานกลางกำก ตามแผนในเดือนเม.ย. (สรุปย่อ — แก้เป็นเนื้อหาจริงได้)</t>
        </is>
      </c>
      <c r="I10" s="6" t="inlineStr">
        <is>
          <t>ดำเนินการ การผลักดันให้มีหน่วยงานกลางกำก ตามแผนในเดือนพ.ค. (สรุปย่อ — แก้เป็นเนื้อหาจริงได้)</t>
        </is>
      </c>
      <c r="J10" s="6" t="inlineStr">
        <is>
          <t>ดำเนินการ การผลักดันให้มีหน่วยงานกลางกำก ตามแผนในเดือนมิ.ย. (สรุปย่อ — แก้เป็นเนื้อหาจริงได้)</t>
        </is>
      </c>
      <c r="K10" s="6" t="n"/>
      <c r="L10" s="6" t="n"/>
      <c r="M10" s="6" t="n"/>
      <c r="N10" s="6" t="n"/>
      <c r="O10" s="6" t="n"/>
      <c r="P10" s="6" t="n"/>
    </row>
    <row r="11" ht="43.5" customHeight="1">
      <c r="A11" s="5" t="inlineStr">
        <is>
          <t>P_1.10</t>
        </is>
      </c>
      <c r="B11" s="5" t="inlineStr">
        <is>
          <t>1.10</t>
        </is>
      </c>
      <c r="C11" s="5" t="inlineStr">
        <is>
          <t>การบูรณาการข้อมูลกระบวนงาน</t>
        </is>
      </c>
      <c r="D11" s="5" t="inlineStr">
        <is>
          <t>1.</t>
        </is>
      </c>
      <c r="E11" s="6" t="n"/>
      <c r="F11" s="6" t="n"/>
      <c r="G11" s="6" t="n"/>
      <c r="H11" s="6" t="inlineStr">
        <is>
          <t>ดำเนินการ การบูรณาการข้อมูลกระบวนงาน ตามแผนในเดือนเม.ย. (สรุปย่อ — แก้เป็นเนื้อหาจริงได้)</t>
        </is>
      </c>
      <c r="I11" s="6" t="inlineStr">
        <is>
          <t>ดำเนินการ การบูรณาการข้อมูลกระบวนงาน ตามแผนในเดือนพ.ค. (สรุปย่อ — แก้เป็นเนื้อหาจริงได้)</t>
        </is>
      </c>
      <c r="J11" s="6" t="inlineStr">
        <is>
          <t>ดำเนินการ การบูรณาการข้อมูลกระบวนงาน ตามแผนในเดือนมิ.ย. (สรุปย่อ — แก้เป็นเนื้อหาจริงได้)</t>
        </is>
      </c>
      <c r="K11" s="6" t="n"/>
      <c r="L11" s="6" t="n"/>
      <c r="M11" s="6" t="n"/>
      <c r="N11" s="6" t="n"/>
      <c r="O11" s="6" t="n"/>
      <c r="P11" s="6" t="n"/>
    </row>
    <row r="12">
      <c r="A12" s="5" t="inlineStr">
        <is>
          <t>P_1.11</t>
        </is>
      </c>
      <c r="B12" s="5" t="inlineStr">
        <is>
          <t>1.11</t>
        </is>
      </c>
      <c r="C12" s="5" t="inlineStr">
        <is>
          <t>การปรับแนวทางการประเมิน CSA</t>
        </is>
      </c>
      <c r="D12" s="5" t="inlineStr">
        <is>
          <t>1.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 ht="43.5" customHeight="1">
      <c r="A13" s="5" t="inlineStr">
        <is>
          <t>P_1.12</t>
        </is>
      </c>
      <c r="B13" s="5" t="inlineStr">
        <is>
          <t>1.12</t>
        </is>
      </c>
      <c r="C13" s="5" t="inlineStr">
        <is>
          <t>การจัดทำแนวทาง/เอกสารในการรวบรวมข้อมูลเหตุการณ์ (Incident information)</t>
        </is>
      </c>
      <c r="D13" s="5" t="inlineStr">
        <is>
          <t>1.</t>
        </is>
      </c>
      <c r="E13" s="6" t="inlineStr">
        <is>
          <t>ดำเนินการ การจัดทำแนวทาง/เอกสารในการรวบร ตามแผนในเดือนม.ค. (สรุปย่อ — แก้เป็นเนื้อหาจริงได้)</t>
        </is>
      </c>
      <c r="F13" s="6" t="inlineStr">
        <is>
          <t>ดำเนินการ การจัดทำแนวทาง/เอกสารในการรวบร ตามแผนในเดือนก.พ. (สรุปย่อ — แก้เป็นเนื้อหาจริงได้)</t>
        </is>
      </c>
      <c r="G13" s="6" t="inlineStr">
        <is>
          <t>ดำเนินการ การจัดทำแนวทาง/เอกสารในการรวบร ตามแผนในเดือนมี.ค. (สรุปย่อ — แก้เป็นเนื้อหาจริงได้)</t>
        </is>
      </c>
      <c r="H13" s="6" t="inlineStr">
        <is>
          <t>ดำเนินการ การจัดทำแนวทาง/เอกสารในการรวบร ตามแผนในเดือนเม.ย. (สรุปย่อ — แก้เป็นเนื้อหาจริงได้)</t>
        </is>
      </c>
      <c r="I13" s="6" t="inlineStr">
        <is>
          <t>ดำเนินการ การจัดทำแนวทาง/เอกสารในการรวบร ตามแผนในเดือนพ.ค. (สรุปย่อ — แก้เป็นเนื้อหาจริงได้)</t>
        </is>
      </c>
      <c r="J13" s="6" t="inlineStr">
        <is>
          <t>ดำเนินการ การจัดทำแนวทาง/เอกสารในการรวบร ตามแผนในเดือนมิ.ย. (สรุปย่อ — แก้เป็นเนื้อหาจริงได้)</t>
        </is>
      </c>
      <c r="K13" s="6" t="n"/>
      <c r="L13" s="6" t="n"/>
      <c r="M13" s="6" t="n"/>
      <c r="N13" s="6" t="n"/>
      <c r="O13" s="6" t="n"/>
      <c r="P13" s="6" t="n"/>
    </row>
    <row r="14" ht="43.5" customHeight="1">
      <c r="A14" s="5" t="inlineStr">
        <is>
          <t>P_1.13</t>
        </is>
      </c>
      <c r="B14" s="5" t="inlineStr">
        <is>
          <t>1.13</t>
        </is>
      </c>
      <c r="C14" s="5" t="inlineStr">
        <is>
          <t>การพัฒนาเครื่องมือติดตามประสิทธิภาพการควบคุมอย่างต่อเนื่อง (Continuous Monitoring)</t>
        </is>
      </c>
      <c r="D14" s="5" t="inlineStr">
        <is>
          <t>1.</t>
        </is>
      </c>
      <c r="E14" s="6" t="inlineStr">
        <is>
          <t>ดำเนินการ การพัฒนาเครื่องมือติดตามประสิท ตามแผนในเดือนม.ค. (สรุปย่อ — แก้เป็นเนื้อหาจริงได้)</t>
        </is>
      </c>
      <c r="F14" s="6" t="inlineStr">
        <is>
          <t>ดำเนินการ การพัฒนาเครื่องมือติดตามประสิท ตามแผนในเดือนก.พ. (สรุปย่อ — แก้เป็นเนื้อหาจริงได้)</t>
        </is>
      </c>
      <c r="G14" s="6" t="inlineStr">
        <is>
          <t>ดำเนินการ การพัฒนาเครื่องมือติดตามประสิท ตามแผนในเดือนมี.ค. (สรุปย่อ — แก้เป็นเนื้อหาจริงได้)</t>
        </is>
      </c>
      <c r="H14" s="6" t="inlineStr">
        <is>
          <t>ดำเนินการ การพัฒนาเครื่องมือติดตามประสิท ตามแผนในเดือนเม.ย. (สรุปย่อ — แก้เป็นเนื้อหาจริงได้)</t>
        </is>
      </c>
      <c r="I14" s="6" t="inlineStr">
        <is>
          <t>ดำเนินการ การพัฒนาเครื่องมือติดตามประสิท ตามแผนในเดือนพ.ค. (สรุปย่อ — แก้เป็นเนื้อหาจริงได้)</t>
        </is>
      </c>
      <c r="J14" s="6" t="inlineStr">
        <is>
          <t>ดำเนินการ การพัฒนาเครื่องมือติดตามประสิท ตามแผนในเดือนมิ.ย. (สรุปย่อ — แก้เป็นเนื้อหาจริงได้)</t>
        </is>
      </c>
      <c r="K14" s="6" t="n"/>
      <c r="L14" s="6" t="n"/>
      <c r="M14" s="6" t="n"/>
      <c r="N14" s="6" t="n"/>
      <c r="O14" s="6" t="n"/>
      <c r="P14" s="6" t="n"/>
    </row>
    <row r="15" ht="43.5" customHeight="1">
      <c r="A15" s="5" t="inlineStr">
        <is>
          <t>P_1.14</t>
        </is>
      </c>
      <c r="B15" s="5" t="inlineStr">
        <is>
          <t>1.14</t>
        </is>
      </c>
      <c r="C15" s="5" t="inlineStr">
        <is>
          <t>การพัฒนาทะเบียนกฎหมาย เนื้อหาข้อบังคับที่องค์กรต้องปฏิบัติตาม (Citation) และเชื่อมโยงกับการควบคุมและนโยบาย</t>
        </is>
      </c>
      <c r="D15" s="5" t="inlineStr">
        <is>
          <t>1.</t>
        </is>
      </c>
      <c r="E15" s="6" t="inlineStr">
        <is>
          <t>ดำเนินการ การพัฒนาทะเบียนกฎหมาย เนื้อหาข ตามแผนในเดือนม.ค. (สรุปย่อ — แก้เป็นเนื้อหาจริงได้)</t>
        </is>
      </c>
      <c r="F15" s="6" t="inlineStr">
        <is>
          <t>ดำเนินการ การพัฒนาทะเบียนกฎหมาย เนื้อหาข ตามแผนในเดือนก.พ. (สรุปย่อ — แก้เป็นเนื้อหาจริงได้)</t>
        </is>
      </c>
      <c r="G15" s="6" t="inlineStr">
        <is>
          <t>ดำเนินการ การพัฒนาทะเบียนกฎหมาย เนื้อหาข ตามแผนในเดือนมี.ค. (สรุปย่อ — แก้เป็นเนื้อหาจริงได้)</t>
        </is>
      </c>
      <c r="H15" s="6" t="inlineStr">
        <is>
          <t>ดำเนินการ การพัฒนาทะเบียนกฎหมาย เนื้อหาข ตามแผนในเดือนเม.ย. (สรุปย่อ — แก้เป็นเนื้อหาจริงได้)</t>
        </is>
      </c>
      <c r="I15" s="6" t="inlineStr">
        <is>
          <t>ดำเนินการ การพัฒนาทะเบียนกฎหมาย เนื้อหาข ตามแผนในเดือนพ.ค. (สรุปย่อ — แก้เป็นเนื้อหาจริงได้)</t>
        </is>
      </c>
      <c r="J15" s="6" t="inlineStr">
        <is>
          <t>ดำเนินการ การพัฒนาทะเบียนกฎหมาย เนื้อหาข ตามแผนในเดือนมิ.ย. (สรุปย่อ — แก้เป็นเนื้อหาจริงได้)</t>
        </is>
      </c>
      <c r="K15" s="6" t="n"/>
      <c r="L15" s="6" t="n"/>
      <c r="M15" s="6" t="n"/>
      <c r="N15" s="6" t="n"/>
      <c r="O15" s="6" t="n"/>
      <c r="P15" s="6" t="n"/>
    </row>
    <row r="16">
      <c r="A16" s="5" t="inlineStr">
        <is>
          <t>M_2.1.1</t>
        </is>
      </c>
      <c r="B16" s="5" t="inlineStr">
        <is>
          <t>2.1.1</t>
        </is>
      </c>
      <c r="C16" s="5" t="inlineStr">
        <is>
          <t>ทบทวนนโยบาย GRC</t>
        </is>
      </c>
      <c r="D16" s="5" t="inlineStr">
        <is>
          <t>2.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 ht="43.5" customHeight="1">
      <c r="A17" s="5" t="inlineStr">
        <is>
          <t>M_2.1.2</t>
        </is>
      </c>
      <c r="B17" s="5" t="inlineStr">
        <is>
          <t>2.1.2</t>
        </is>
      </c>
      <c r="C17" s="5" t="inlineStr">
        <is>
          <t>ทบทวนโครงสร้างและบทบาทหน้าที่ด้านการบริหารความเสี่ยง</t>
        </is>
      </c>
      <c r="D17" s="5" t="inlineStr">
        <is>
          <t>2.</t>
        </is>
      </c>
      <c r="E17" s="6" t="n"/>
      <c r="F17" s="6" t="n"/>
      <c r="G17" s="6" t="n"/>
      <c r="H17" s="6" t="n"/>
      <c r="I17" s="6" t="inlineStr">
        <is>
          <t>ดำเนินการ ทบทวนโครงสร้างและบทบาทหน้าที่ด ตามแผนในเดือนพ.ค. (สรุปย่อ — แก้เป็นเนื้อหาจริงได้)</t>
        </is>
      </c>
      <c r="J17" s="6" t="inlineStr">
        <is>
          <t>ดำเนินการ ทบทวนโครงสร้างและบทบาทหน้าที่ด ตามแผนในเดือนมิ.ย. (สรุปย่อ — แก้เป็นเนื้อหาจริงได้)</t>
        </is>
      </c>
      <c r="K17" s="6" t="n"/>
      <c r="L17" s="6" t="n"/>
      <c r="M17" s="6" t="n"/>
      <c r="N17" s="6" t="n"/>
      <c r="O17" s="6" t="n"/>
      <c r="P17" s="6" t="n"/>
    </row>
    <row r="18" ht="43.5" customHeight="1">
      <c r="A18" s="5" t="inlineStr">
        <is>
          <t>M_2.1.3</t>
        </is>
      </c>
      <c r="B18" s="5" t="inlineStr">
        <is>
          <t>2.1.3</t>
        </is>
      </c>
      <c r="C18" s="5" t="inlineStr">
        <is>
          <t>ทบทวนกรอบการดำเนินงานและคู่มือการบริหารความเสี่ยง</t>
        </is>
      </c>
      <c r="D18" s="5" t="inlineStr">
        <is>
          <t>2.</t>
        </is>
      </c>
      <c r="E18" s="6" t="n"/>
      <c r="F18" s="6" t="n"/>
      <c r="G18" s="6" t="n"/>
      <c r="H18" s="6" t="n"/>
      <c r="I18" s="6" t="n"/>
      <c r="J18" s="6" t="inlineStr">
        <is>
          <t>ดำเนินการ ทบทวนกรอบการดำเนินงานและคู่มือ ตามแผนในเดือนมิ.ย. (สรุปย่อ — แก้เป็นเนื้อหาจริงได้)</t>
        </is>
      </c>
      <c r="K18" s="6" t="n"/>
      <c r="L18" s="6" t="n"/>
      <c r="M18" s="6" t="n"/>
      <c r="N18" s="6" t="n"/>
      <c r="O18" s="6" t="n"/>
      <c r="P18" s="6" t="n"/>
    </row>
    <row r="19" ht="43.5" customHeight="1">
      <c r="A19" s="5" t="inlineStr">
        <is>
          <t>M_2.2.1</t>
        </is>
      </c>
      <c r="B19" s="5" t="inlineStr">
        <is>
          <t>2.2.1</t>
        </is>
      </c>
      <c r="C19" s="5" t="inlineStr">
        <is>
          <t>ทบทวน Competency / พฤติกรรมพึงประสงค์ด้านการบริหารความเสี่ยง กับผู้บริหาร และพนักงานที่เกี่ยวข้อง</t>
        </is>
      </c>
      <c r="D19" s="5" t="inlineStr">
        <is>
          <t>2.</t>
        </is>
      </c>
      <c r="E19" s="6" t="inlineStr">
        <is>
          <t>ดำเนินการ ทบทวน Competency / พฤติกรรมพึง ตามแผนในเดือนม.ค. (สรุปย่อ — แก้เป็นเนื้อหาจริงได้)</t>
        </is>
      </c>
      <c r="F19" s="6" t="inlineStr">
        <is>
          <t>ดำเนินการ ทบทวน Competency / พฤติกรรมพึง ตามแผนในเดือนก.พ. (สรุปย่อ — แก้เป็นเนื้อหาจริงได้)</t>
        </is>
      </c>
      <c r="G19" s="6" t="inlineStr">
        <is>
          <t>ดำเนินการ ทบทวน Competency / พฤติกรรมพึง ตามแผนในเดือนมี.ค. (สรุปย่อ — แก้เป็นเนื้อหาจริงได้)</t>
        </is>
      </c>
      <c r="H19" s="6" t="inlineStr">
        <is>
          <t>ดำเนินการ ทบทวน Competency / พฤติกรรมพึง ตามแผนในเดือนเม.ย. (สรุปย่อ — แก้เป็นเนื้อหาจริงได้)</t>
        </is>
      </c>
      <c r="I19" s="6" t="inlineStr">
        <is>
          <t>ดำเนินการ ทบทวน Competency / พฤติกรรมพึง ตามแผนในเดือนพ.ค. (สรุปย่อ — แก้เป็นเนื้อหาจริงได้)</t>
        </is>
      </c>
      <c r="J19" s="6" t="inlineStr">
        <is>
          <t>ดำเนินการ ทบทวน Competency / พฤติกรรมพึง ตามแผนในเดือนมิ.ย. (สรุปย่อ — แก้เป็นเนื้อหาจริงได้)</t>
        </is>
      </c>
      <c r="K19" s="6" t="n"/>
      <c r="L19" s="6" t="n"/>
      <c r="M19" s="6" t="n"/>
      <c r="N19" s="6" t="n"/>
      <c r="O19" s="6" t="n"/>
      <c r="P19" s="6" t="n"/>
    </row>
    <row r="20" ht="43.5" customHeight="1">
      <c r="A20" s="5" t="inlineStr">
        <is>
          <t>M_2.2.2</t>
        </is>
      </c>
      <c r="B20" s="5" t="inlineStr">
        <is>
          <t>2.2.2</t>
        </is>
      </c>
      <c r="C20" s="5" t="inlineStr">
        <is>
          <t>อบรมและพัฒนาพนักงานตาม Competency ที่กำหนด</t>
        </is>
      </c>
      <c r="D20" s="5" t="inlineStr">
        <is>
          <t>2.</t>
        </is>
      </c>
      <c r="E20" s="6" t="inlineStr">
        <is>
          <t>ดำเนินการ อบรมและพัฒนาพนักงานตาม Compete ตามแผนในเดือนม.ค. (สรุปย่อ — แก้เป็นเนื้อหาจริงได้)</t>
        </is>
      </c>
      <c r="F20" s="6" t="inlineStr">
        <is>
          <t>ดำเนินการ อบรมและพัฒนาพนักงานตาม Compete ตามแผนในเดือนก.พ. (สรุปย่อ — แก้เป็นเนื้อหาจริงได้)</t>
        </is>
      </c>
      <c r="G20" s="6" t="inlineStr">
        <is>
          <t>ดำเนินการ อบรมและพัฒนาพนักงานตาม Compete ตามแผนในเดือนมี.ค. (สรุปย่อ — แก้เป็นเนื้อหาจริงได้)</t>
        </is>
      </c>
      <c r="H20" s="6" t="inlineStr">
        <is>
          <t>ดำเนินการ อบรมและพัฒนาพนักงานตาม Compete ตามแผนในเดือนเม.ย. (สรุปย่อ — แก้เป็นเนื้อหาจริงได้)</t>
        </is>
      </c>
      <c r="I20" s="6" t="inlineStr">
        <is>
          <t>ดำเนินการ อบรมและพัฒนาพนักงานตาม Compete ตามแผนในเดือนพ.ค. (สรุปย่อ — แก้เป็นเนื้อหาจริงได้)</t>
        </is>
      </c>
      <c r="J20" s="6" t="inlineStr">
        <is>
          <t>ดำเนินการ อบรมและพัฒนาพนักงานตาม Compete ตามแผนในเดือนมิ.ย. (สรุปย่อ — แก้เป็นเนื้อหาจริงได้)</t>
        </is>
      </c>
      <c r="K20" s="6" t="n"/>
      <c r="L20" s="6" t="n"/>
      <c r="M20" s="6" t="n"/>
      <c r="N20" s="6" t="n"/>
      <c r="O20" s="6" t="n"/>
      <c r="P20" s="6" t="n"/>
    </row>
    <row r="21" ht="43.5" customHeight="1">
      <c r="A21" s="5" t="inlineStr">
        <is>
          <t>M_2.2.3</t>
        </is>
      </c>
      <c r="B21" s="5" t="inlineStr">
        <is>
          <t>2.2.3</t>
        </is>
      </c>
      <c r="C21" s="5" t="inlineStr">
        <is>
          <t>สื่อสารสร้างความตระหนักด้านการบริหารความเสี่ยง</t>
        </is>
      </c>
      <c r="D21" s="5" t="inlineStr">
        <is>
          <t>2.</t>
        </is>
      </c>
      <c r="E21" s="6" t="inlineStr">
        <is>
          <t>ดำเนินการ สื่อสารสร้างความตระหนักด้านการ ตามแผนในเดือนม.ค. (สรุปย่อ — แก้เป็นเนื้อหาจริงได้)</t>
        </is>
      </c>
      <c r="F21" s="6" t="inlineStr">
        <is>
          <t>ดำเนินการ สื่อสารสร้างความตระหนักด้านการ ตามแผนในเดือนก.พ. (สรุปย่อ — แก้เป็นเนื้อหาจริงได้)</t>
        </is>
      </c>
      <c r="G21" s="6" t="inlineStr">
        <is>
          <t>ดำเนินการ สื่อสารสร้างความตระหนักด้านการ ตามแผนในเดือนมี.ค. (สรุปย่อ — แก้เป็นเนื้อหาจริงได้)</t>
        </is>
      </c>
      <c r="H21" s="6" t="inlineStr">
        <is>
          <t>ดำเนินการ สื่อสารสร้างความตระหนักด้านการ ตามแผนในเดือนเม.ย. (สรุปย่อ — แก้เป็นเนื้อหาจริงได้)</t>
        </is>
      </c>
      <c r="I21" s="6" t="inlineStr">
        <is>
          <t>ดำเนินการ สื่อสารสร้างความตระหนักด้านการ ตามแผนในเดือนพ.ค. (สรุปย่อ — แก้เป็นเนื้อหาจริงได้)</t>
        </is>
      </c>
      <c r="J21" s="6" t="inlineStr">
        <is>
          <t>ดำเนินการ สื่อสารสร้างความตระหนักด้านการ ตามแผนในเดือนมิ.ย. (สรุปย่อ — แก้เป็นเนื้อหาจริงได้)</t>
        </is>
      </c>
      <c r="K21" s="6" t="n"/>
      <c r="L21" s="6" t="n"/>
      <c r="M21" s="6" t="n"/>
      <c r="N21" s="6" t="n"/>
      <c r="O21" s="6" t="n"/>
      <c r="P21" s="6" t="n"/>
    </row>
    <row r="22" ht="29" customHeight="1">
      <c r="A22" s="5" t="inlineStr">
        <is>
          <t>M_2.2.4</t>
        </is>
      </c>
      <c r="B22" s="5" t="inlineStr">
        <is>
          <t>2.2.4</t>
        </is>
      </c>
      <c r="C22" s="5" t="inlineStr">
        <is>
          <t>สำรวจความตระหนักและทัศนคติเกี่ยวกับการบริหารความเสี่ยง</t>
        </is>
      </c>
      <c r="D22" s="5" t="inlineStr">
        <is>
          <t>2.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 ht="43.5" customHeight="1">
      <c r="A23" s="5" t="inlineStr">
        <is>
          <t>M_2.2.5</t>
        </is>
      </c>
      <c r="B23" s="5" t="inlineStr">
        <is>
          <t>2.2.5</t>
        </is>
      </c>
      <c r="C23" s="5" t="inlineStr">
        <is>
          <t>ทบทวนการจัดทำการเชื่อมโยง KPI กับผลการดำเนินงานด้านการบริหารความเสี่ยงของแต่ละสายงาน</t>
        </is>
      </c>
      <c r="D23" s="5" t="inlineStr">
        <is>
          <t>2.</t>
        </is>
      </c>
      <c r="E23" s="6" t="inlineStr">
        <is>
          <t>ดำเนินการ ทบทวนการจัดทำการเชื่อมโยง KPI  ตามแผนในเดือนม.ค. (สรุปย่อ — แก้เป็นเนื้อหาจริงได้)</t>
        </is>
      </c>
      <c r="F23" s="6" t="inlineStr">
        <is>
          <t>ดำเนินการ ทบทวนการจัดทำการเชื่อมโยง KPI  ตามแผนในเดือนก.พ. (สรุปย่อ — แก้เป็นเนื้อหาจริงได้)</t>
        </is>
      </c>
      <c r="G23" s="6" t="inlineStr">
        <is>
          <t>ดำเนินการ ทบทวนการจัดทำการเชื่อมโยง KPI  ตามแผนในเดือนมี.ค. (สรุปย่อ — แก้เป็นเนื้อหาจริงได้)</t>
        </is>
      </c>
      <c r="H23" s="6" t="inlineStr">
        <is>
          <t>ดำเนินการ ทบทวนการจัดทำการเชื่อมโยง KPI  ตามแผนในเดือนเม.ย. (สรุปย่อ — แก้เป็นเนื้อหาจริงได้)</t>
        </is>
      </c>
      <c r="I23" s="6" t="inlineStr">
        <is>
          <t>ดำเนินการ ทบทวนการจัดทำการเชื่อมโยง KPI  ตามแผนในเดือนพ.ค. (สรุปย่อ — แก้เป็นเนื้อหาจริงได้)</t>
        </is>
      </c>
      <c r="J23" s="6" t="inlineStr">
        <is>
          <t>ดำเนินการ ทบทวนการจัดทำการเชื่อมโยง KPI  ตามแผนในเดือนมิ.ย. (สรุปย่อ — แก้เป็นเนื้อหาจริงได้)</t>
        </is>
      </c>
      <c r="K23" s="6" t="n"/>
      <c r="L23" s="6" t="n"/>
      <c r="M23" s="6" t="n"/>
      <c r="N23" s="6" t="n"/>
      <c r="O23" s="6" t="n"/>
      <c r="P23" s="6" t="n"/>
    </row>
    <row r="24" ht="43.5" customHeight="1">
      <c r="A24" s="5" t="inlineStr">
        <is>
          <t>M_2.2.6</t>
        </is>
      </c>
      <c r="B24" s="5" t="inlineStr">
        <is>
          <t>2.2.6</t>
        </is>
      </c>
      <c r="C24" s="5" t="inlineStr">
        <is>
          <t>ดำเนินการตามโครงการ MEA GRC Award เพื่อบูรณาการการบริหารความเสี่ยงกับผลตอบแทน/แรงจูงใจ</t>
        </is>
      </c>
      <c r="D24" s="5" t="inlineStr">
        <is>
          <t>2.</t>
        </is>
      </c>
      <c r="E24" s="6" t="inlineStr">
        <is>
          <t>ดำเนินการ ดำเนินการตามโครงการ MEA GRC Aw ตามแผนในเดือนม.ค. (สรุปย่อ — แก้เป็นเนื้อหาจริงได้)</t>
        </is>
      </c>
      <c r="F24" s="6" t="inlineStr">
        <is>
          <t>ดำเนินการ ดำเนินการตามโครงการ MEA GRC Aw ตามแผนในเดือนก.พ. (สรุปย่อ — แก้เป็นเนื้อหาจริงได้)</t>
        </is>
      </c>
      <c r="G24" s="6" t="inlineStr">
        <is>
          <t>ดำเนินการ ดำเนินการตามโครงการ MEA GRC Aw ตามแผนในเดือนมี.ค. (สรุปย่อ — แก้เป็นเนื้อหาจริงได้)</t>
        </is>
      </c>
      <c r="H24" s="6" t="inlineStr">
        <is>
          <t>ดำเนินการ ดำเนินการตามโครงการ MEA GRC Aw ตามแผนในเดือนเม.ย. (สรุปย่อ — แก้เป็นเนื้อหาจริงได้)</t>
        </is>
      </c>
      <c r="I24" s="6" t="inlineStr">
        <is>
          <t>ดำเนินการ ดำเนินการตามโครงการ MEA GRC Aw ตามแผนในเดือนพ.ค. (สรุปย่อ — แก้เป็นเนื้อหาจริงได้)</t>
        </is>
      </c>
      <c r="J24" s="6" t="inlineStr">
        <is>
          <t>ดำเนินการ ดำเนินการตามโครงการ MEA GRC Aw ตามแผนในเดือนมิ.ย. (สรุปย่อ — แก้เป็นเนื้อหาจริงได้)</t>
        </is>
      </c>
      <c r="K24" s="6" t="n"/>
      <c r="L24" s="6" t="n"/>
      <c r="M24" s="6" t="n"/>
      <c r="N24" s="6" t="n"/>
      <c r="O24" s="6" t="n"/>
      <c r="P24" s="6" t="n"/>
    </row>
    <row r="25" ht="43.5" customHeight="1">
      <c r="A25" s="5" t="inlineStr">
        <is>
          <t>M_2.3.1</t>
        </is>
      </c>
      <c r="B25" s="5" t="inlineStr">
        <is>
          <t>2.3.1</t>
        </is>
      </c>
      <c r="C25" s="5" t="inlineStr">
        <is>
          <t>ทบทวนหลักการกำหนด RA/RT และ RA Statement พร้อมสื่อสารให้แก่ผู้มีส่วนได้ส่วนเสีย</t>
        </is>
      </c>
      <c r="D25" s="5" t="inlineStr">
        <is>
          <t>2.</t>
        </is>
      </c>
      <c r="E25" s="6" t="inlineStr">
        <is>
          <t>ดำเนินการ ทบทวนหลักการกำหนด RA/RT และ RA ตามแผนในเดือนม.ค. (สรุปย่อ — แก้เป็นเนื้อหาจริงได้)</t>
        </is>
      </c>
      <c r="F25" s="6" t="inlineStr">
        <is>
          <t>ดำเนินการ ทบทวนหลักการกำหนด RA/RT และ RA ตามแผนในเดือนก.พ. (สรุปย่อ — แก้เป็นเนื้อหาจริงได้)</t>
        </is>
      </c>
      <c r="G25" s="6" t="inlineStr">
        <is>
          <t>ดำเนินการ ทบทวนหลักการกำหนด RA/RT และ RA ตามแผนในเดือนมี.ค. (สรุปย่อ — แก้เป็นเนื้อหาจริงได้)</t>
        </is>
      </c>
      <c r="H25" s="6" t="inlineStr">
        <is>
          <t>ดำเนินการ ทบทวนหลักการกำหนด RA/RT และ RA ตามแผนในเดือนเม.ย. (สรุปย่อ — แก้เป็นเนื้อหาจริงได้)</t>
        </is>
      </c>
      <c r="I25" s="6" t="inlineStr">
        <is>
          <t>ดำเนินการ ทบทวนหลักการกำหนด RA/RT และ RA ตามแผนในเดือนพ.ค. (สรุปย่อ — แก้เป็นเนื้อหาจริงได้)</t>
        </is>
      </c>
      <c r="J25" s="6" t="inlineStr">
        <is>
          <t>ดำเนินการ ทบทวนหลักการกำหนด RA/RT และ RA ตามแผนในเดือนมิ.ย. (สรุปย่อ — แก้เป็นเนื้อหาจริงได้)</t>
        </is>
      </c>
      <c r="K25" s="6" t="n"/>
      <c r="L25" s="6" t="n"/>
      <c r="M25" s="6" t="n"/>
      <c r="N25" s="6" t="n"/>
      <c r="O25" s="6" t="n"/>
      <c r="P25" s="6" t="n"/>
    </row>
    <row r="26" ht="43.5" customHeight="1">
      <c r="A26" s="5" t="inlineStr">
        <is>
          <t>M_2.3.2</t>
        </is>
      </c>
      <c r="B26" s="5" t="inlineStr">
        <is>
          <t>2.3.2</t>
        </is>
      </c>
      <c r="C26" s="5" t="inlineStr">
        <is>
          <t>ระบุ Emerging Risk เป็นข้อมูลนำเข้าในการวิเคราะห์สภาพแวดล้อม</t>
        </is>
      </c>
      <c r="D26" s="5" t="inlineStr">
        <is>
          <t>2.</t>
        </is>
      </c>
      <c r="E26" s="6" t="inlineStr">
        <is>
          <t>ดำเนินการ ระบุ Emerging Risk เป็นข้อมูลน ตามแผนในเดือนม.ค. (สรุปย่อ — แก้เป็นเนื้อหาจริงได้)</t>
        </is>
      </c>
      <c r="F26" s="6" t="inlineStr">
        <is>
          <t>ดำเนินการ ระบุ Emerging Risk เป็นข้อมูลน ตามแผนในเดือนก.พ. (สรุปย่อ — แก้เป็นเนื้อหาจริงได้)</t>
        </is>
      </c>
      <c r="G26" s="6" t="inlineStr">
        <is>
          <t>ดำเนินการ ระบุ Emerging Risk เป็นข้อมูลน ตามแผนในเดือนมี.ค. (สรุปย่อ — แก้เป็นเนื้อหาจริงได้)</t>
        </is>
      </c>
      <c r="H26" s="6" t="inlineStr">
        <is>
          <t>ดำเนินการ ระบุ Emerging Risk เป็นข้อมูลน ตามแผนในเดือนเม.ย. (สรุปย่อ — แก้เป็นเนื้อหาจริงได้)</t>
        </is>
      </c>
      <c r="I26" s="6" t="inlineStr">
        <is>
          <t>ดำเนินการ ระบุ Emerging Risk เป็นข้อมูลน ตามแผนในเดือนพ.ค. (สรุปย่อ — แก้เป็นเนื้อหาจริงได้)</t>
        </is>
      </c>
      <c r="J26" s="6" t="inlineStr">
        <is>
          <t>ดำเนินการ ระบุ Emerging Risk เป็นข้อมูลน ตามแผนในเดือนมิ.ย. (สรุปย่อ — แก้เป็นเนื้อหาจริงได้)</t>
        </is>
      </c>
      <c r="K26" s="6" t="n"/>
      <c r="L26" s="6" t="n"/>
      <c r="M26" s="6" t="n"/>
      <c r="N26" s="6" t="n"/>
      <c r="O26" s="6" t="n"/>
      <c r="P26" s="6" t="n"/>
    </row>
    <row r="27" ht="43.5" customHeight="1">
      <c r="A27" s="5" t="inlineStr">
        <is>
          <t>M_2.3.3</t>
        </is>
      </c>
      <c r="B27" s="5" t="inlineStr">
        <is>
          <t>2.3.3</t>
        </is>
      </c>
      <c r="C27" s="5" t="inlineStr">
        <is>
          <t>ระบุ Intelligent Risk ที่อาจส่งผลต่อบรรลุเป้าหมายในแต่ละตำแหน่งเชิงยุทธศาสตร์ขององค์กร</t>
        </is>
      </c>
      <c r="D27" s="5" t="inlineStr">
        <is>
          <t>2.</t>
        </is>
      </c>
      <c r="E27" s="6" t="n"/>
      <c r="F27" s="6" t="n"/>
      <c r="G27" s="6" t="n"/>
      <c r="H27" s="6" t="inlineStr">
        <is>
          <t>ดำเนินการ ระบุ Intelligent Risk ที่อาจส่ ตามแผนในเดือนเม.ย. (สรุปย่อ — แก้เป็นเนื้อหาจริงได้)</t>
        </is>
      </c>
      <c r="I27" s="6" t="inlineStr">
        <is>
          <t>ดำเนินการ ระบุ Intelligent Risk ที่อาจส่ ตามแผนในเดือนพ.ค. (สรุปย่อ — แก้เป็นเนื้อหาจริงได้)</t>
        </is>
      </c>
      <c r="J27" s="6" t="inlineStr">
        <is>
          <t>ดำเนินการ ระบุ Intelligent Risk ที่อาจส่ ตามแผนในเดือนมิ.ย. (สรุปย่อ — แก้เป็นเนื้อหาจริงได้)</t>
        </is>
      </c>
      <c r="K27" s="6" t="n"/>
      <c r="L27" s="6" t="n"/>
      <c r="M27" s="6" t="n"/>
      <c r="N27" s="6" t="n"/>
      <c r="O27" s="6" t="n"/>
      <c r="P27" s="6" t="n"/>
    </row>
    <row r="28" ht="43.5" customHeight="1">
      <c r="A28" s="5" t="inlineStr">
        <is>
          <t>M_2.3.4</t>
        </is>
      </c>
      <c r="B28" s="5" t="inlineStr">
        <is>
          <t>2.3.4</t>
        </is>
      </c>
      <c r="C28" s="5" t="inlineStr">
        <is>
          <t>ระบุและวิเคราะห์ความเสี่ยงที่อาจส่งผลต่อการบรรลุวัตถุประสงค์เชิงยุทธศาสตร์ (SO)</t>
        </is>
      </c>
      <c r="D28" s="5" t="inlineStr">
        <is>
          <t>2.</t>
        </is>
      </c>
      <c r="E28" s="6" t="n"/>
      <c r="F28" s="6" t="n"/>
      <c r="G28" s="6" t="n"/>
      <c r="H28" s="6" t="inlineStr">
        <is>
          <t>ดำเนินการ ระบุและวิเคราะห์ความเสี่ยงที่อ ตามแผนในเดือนเม.ย. (สรุปย่อ — แก้เป็นเนื้อหาจริงได้)</t>
        </is>
      </c>
      <c r="I28" s="6" t="inlineStr">
        <is>
          <t>ดำเนินการ ระบุและวิเคราะห์ความเสี่ยงที่อ ตามแผนในเดือนพ.ค. (สรุปย่อ — แก้เป็นเนื้อหาจริงได้)</t>
        </is>
      </c>
      <c r="J28" s="6" t="inlineStr">
        <is>
          <t>ดำเนินการ ระบุและวิเคราะห์ความเสี่ยงที่อ ตามแผนในเดือนมิ.ย. (สรุปย่อ — แก้เป็นเนื้อหาจริงได้)</t>
        </is>
      </c>
      <c r="K28" s="6" t="n"/>
      <c r="L28" s="6" t="n"/>
      <c r="M28" s="6" t="n"/>
      <c r="N28" s="6" t="n"/>
      <c r="O28" s="6" t="n"/>
      <c r="P28" s="6" t="n"/>
    </row>
    <row r="29" ht="43.5" customHeight="1">
      <c r="A29" s="5" t="inlineStr">
        <is>
          <t>M_2.3.5</t>
        </is>
      </c>
      <c r="B29" s="5" t="inlineStr">
        <is>
          <t>2.3.5</t>
        </is>
      </c>
      <c r="C29" s="5" t="inlineStr">
        <is>
          <t>ทบทวนแบบฟอร์มและเกณฑ์การประเมินความเสี่ยงและ ประสิทธิผลของการควบคุมของแผน AP และแผนแม่บทที่เกี่ยวข้อง</t>
        </is>
      </c>
      <c r="D29" s="5" t="inlineStr">
        <is>
          <t>2.</t>
        </is>
      </c>
      <c r="E29" s="6" t="n"/>
      <c r="F29" s="6" t="n"/>
      <c r="G29" s="6" t="n"/>
      <c r="H29" s="6" t="n"/>
      <c r="I29" s="6" t="inlineStr">
        <is>
          <t>ดำเนินการ ทบทวนแบบฟอร์มและเกณฑ์การประเมิ ตามแผนในเดือนพ.ค. (สรุปย่อ — แก้เป็นเนื้อหาจริงได้)</t>
        </is>
      </c>
      <c r="J29" s="6" t="inlineStr">
        <is>
          <t>ดำเนินการ ทบทวนแบบฟอร์มและเกณฑ์การประเมิ ตามแผนในเดือนมิ.ย. (สรุปย่อ — แก้เป็นเนื้อหาจริงได้)</t>
        </is>
      </c>
      <c r="K29" s="6" t="n"/>
      <c r="L29" s="6" t="n"/>
      <c r="M29" s="6" t="n"/>
      <c r="N29" s="6" t="n"/>
      <c r="O29" s="6" t="n"/>
      <c r="P29" s="6" t="n"/>
    </row>
    <row r="30" ht="43.5" customHeight="1">
      <c r="A30" s="5" t="inlineStr">
        <is>
          <t>M_2.3.6</t>
        </is>
      </c>
      <c r="B30" s="5" t="inlineStr">
        <is>
          <t>2.3.6</t>
        </is>
      </c>
      <c r="C30" s="5" t="inlineStr">
        <is>
          <t>สื่อสารแบบฟอร์มการประเมินความเสี่ยง และหลักเกณฑ์การประเมินความเพียงพอของการควบคุมภายใน</t>
        </is>
      </c>
      <c r="D30" s="5" t="inlineStr">
        <is>
          <t>2.</t>
        </is>
      </c>
      <c r="E30" s="6" t="n"/>
      <c r="F30" s="6" t="n"/>
      <c r="G30" s="6" t="n"/>
      <c r="H30" s="6" t="n"/>
      <c r="I30" s="6" t="n"/>
      <c r="J30" s="6" t="inlineStr">
        <is>
          <t>ดำเนินการ สื่อสารแบบฟอร์มการประเมินความเ ตามแผนในเดือนมิ.ย. (สรุปย่อ — แก้เป็นเนื้อหาจริงได้)</t>
        </is>
      </c>
      <c r="K30" s="6" t="n"/>
      <c r="L30" s="6" t="n"/>
      <c r="M30" s="6" t="n"/>
      <c r="N30" s="6" t="n"/>
      <c r="O30" s="6" t="n"/>
      <c r="P30" s="6" t="n"/>
    </row>
    <row r="31" ht="43.5" customHeight="1">
      <c r="A31" s="5" t="inlineStr">
        <is>
          <t>M_2.3.7</t>
        </is>
      </c>
      <c r="B31" s="5" t="inlineStr">
        <is>
          <t>2.3.7</t>
        </is>
      </c>
      <c r="C31" s="5" t="inlineStr">
        <is>
          <t>ติดตามการวิเคราะห์ ระบุ และประเมินความเสี่ยงของแผนปฏิบัติการ และแผนแม่บทที่เกี่ยวข้อง พร้อมกำหนดมาตรการจัดการความเสี่ยง</t>
        </is>
      </c>
      <c r="D31" s="5" t="inlineStr">
        <is>
          <t>2.</t>
        </is>
      </c>
      <c r="E31" s="6" t="n"/>
      <c r="F31" s="6" t="n"/>
      <c r="G31" s="6" t="n"/>
      <c r="H31" s="6" t="n"/>
      <c r="I31" s="6" t="n"/>
      <c r="J31" s="6" t="inlineStr">
        <is>
          <t>ดำเนินการ ติดตามการวิเคราะห์ ระบุ และประ ตามแผนในเดือนมิ.ย. (สรุปย่อ — แก้เป็นเนื้อหาจริงได้)</t>
        </is>
      </c>
      <c r="K31" s="6" t="n"/>
      <c r="L31" s="6" t="n"/>
      <c r="M31" s="6" t="n"/>
      <c r="N31" s="6" t="n"/>
      <c r="O31" s="6" t="n"/>
      <c r="P31" s="6" t="n"/>
    </row>
    <row r="32" ht="43.5" customHeight="1">
      <c r="A32" s="5" t="inlineStr">
        <is>
          <t>M_2.4.1</t>
        </is>
      </c>
      <c r="B32" s="5" t="inlineStr">
        <is>
          <t>2.4.1</t>
        </is>
      </c>
      <c r="C32" s="5" t="inlineStr">
        <is>
          <t>รวบรวม/วิเคราะห์ข้อมูลความเสี่ยง การควบคุม และนำเข้าใน Risk Inventory พร้อมทบทวนเกณฑ์ประเมินการควบคุม</t>
        </is>
      </c>
      <c r="D32" s="5" t="inlineStr">
        <is>
          <t>2.</t>
        </is>
      </c>
      <c r="E32" s="6" t="inlineStr">
        <is>
          <t>ดำเนินการ รวบรวม/วิเคราะห์ข้อมูลความเสี่ ตามแผนในเดือนม.ค. (สรุปย่อ — แก้เป็นเนื้อหาจริงได้)</t>
        </is>
      </c>
      <c r="F32" s="6" t="inlineStr">
        <is>
          <t>ดำเนินการ รวบรวม/วิเคราะห์ข้อมูลความเสี่ ตามแผนในเดือนก.พ. (สรุปย่อ — แก้เป็นเนื้อหาจริงได้)</t>
        </is>
      </c>
      <c r="G32" s="6" t="inlineStr">
        <is>
          <t>ดำเนินการ รวบรวม/วิเคราะห์ข้อมูลความเสี่ ตามแผนในเดือนมี.ค. (สรุปย่อ — แก้เป็นเนื้อหาจริงได้)</t>
        </is>
      </c>
      <c r="H32" s="6" t="inlineStr">
        <is>
          <t>ดำเนินการ รวบรวม/วิเคราะห์ข้อมูลความเสี่ ตามแผนในเดือนเม.ย. (สรุปย่อ — แก้เป็นเนื้อหาจริงได้)</t>
        </is>
      </c>
      <c r="I32" s="6" t="inlineStr">
        <is>
          <t>ดำเนินการ รวบรวม/วิเคราะห์ข้อมูลความเสี่ ตามแผนในเดือนพ.ค. (สรุปย่อ — แก้เป็นเนื้อหาจริงได้)</t>
        </is>
      </c>
      <c r="J32" s="6" t="inlineStr">
        <is>
          <t>ดำเนินการ รวบรวม/วิเคราะห์ข้อมูลความเสี่ ตามแผนในเดือนมิ.ย. (สรุปย่อ — แก้เป็นเนื้อหาจริงได้)</t>
        </is>
      </c>
      <c r="K32" s="6" t="n"/>
      <c r="L32" s="6" t="n"/>
      <c r="M32" s="6" t="n"/>
      <c r="N32" s="6" t="n"/>
      <c r="O32" s="6" t="n"/>
      <c r="P32" s="6" t="n"/>
    </row>
    <row r="33" ht="43.5" customHeight="1">
      <c r="A33" s="5" t="inlineStr">
        <is>
          <t>M_2.4.2</t>
        </is>
      </c>
      <c r="B33" s="5" t="inlineStr">
        <is>
          <t>2.4.2</t>
        </is>
      </c>
      <c r="C33" s="5" t="inlineStr">
        <is>
          <t>คัดเลือกปัจจัยเสี่ยงระดับองค์กร พร้อมวิเคราะห์ Leading / Lagging Indicator ของแต่ละความเสี่ยง</t>
        </is>
      </c>
      <c r="D33" s="5" t="inlineStr">
        <is>
          <t>2.</t>
        </is>
      </c>
      <c r="E33" s="6" t="n"/>
      <c r="F33" s="6" t="n"/>
      <c r="G33" s="6" t="n"/>
      <c r="H33" s="6" t="n"/>
      <c r="I33" s="6" t="n"/>
      <c r="J33" s="6" t="inlineStr">
        <is>
          <t>ดำเนินการ คัดเลือกปัจจัยเสี่ยงระดับองค์ก ตามแผนในเดือนมิ.ย. (สรุปย่อ — แก้เป็นเนื้อหาจริงได้)</t>
        </is>
      </c>
      <c r="K33" s="6" t="n"/>
      <c r="L33" s="6" t="n"/>
      <c r="M33" s="6" t="n"/>
      <c r="N33" s="6" t="n"/>
      <c r="O33" s="6" t="n"/>
      <c r="P33" s="6" t="n"/>
    </row>
    <row r="34" ht="29" customHeight="1">
      <c r="A34" s="5" t="inlineStr">
        <is>
          <t>M_2.4.3</t>
        </is>
      </c>
      <c r="B34" s="5" t="inlineStr">
        <is>
          <t>2.4.3</t>
        </is>
      </c>
      <c r="C34" s="5" t="inlineStr">
        <is>
          <t>จัดให้มีการประเมินความเสี่ยง และสื่อสารความเสี่ยงต่อผู้รับผิดชอบ</t>
        </is>
      </c>
      <c r="D34" s="5" t="inlineStr">
        <is>
          <t>2.</t>
        </is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</row>
    <row r="35" ht="43.5" customHeight="1">
      <c r="A35" s="5" t="inlineStr">
        <is>
          <t>M_2.4.4</t>
        </is>
      </c>
      <c r="B35" s="5" t="inlineStr">
        <is>
          <t>2.4.4</t>
        </is>
      </c>
      <c r="C35" s="5" t="inlineStr">
        <is>
          <t>พิจารณาและคัดเลือกวิธีการจัดการความเสี่ยง พร้อมทั้ง วิเคราะห์และจัดทำ Risk Correlation Map/Portfolio View of Risk</t>
        </is>
      </c>
      <c r="D35" s="5" t="inlineStr">
        <is>
          <t>2.</t>
        </is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 ht="29" customHeight="1">
      <c r="A36" s="5" t="inlineStr">
        <is>
          <t>M_2.4.5</t>
        </is>
      </c>
      <c r="B36" s="5" t="inlineStr">
        <is>
          <t>2.4.5</t>
        </is>
      </c>
      <c r="C36" s="5" t="inlineStr">
        <is>
          <t>จัดทำแผนบริหารความเสี่ยง และทบทวนแผนบริหารความเสี่ยงของปีถัดไป</t>
        </is>
      </c>
      <c r="D36" s="5" t="inlineStr">
        <is>
          <t>2.</t>
        </is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 ht="43.5" customHeight="1">
      <c r="A37" s="5" t="inlineStr">
        <is>
          <t>M_2.4.6</t>
        </is>
      </c>
      <c r="B37" s="5" t="inlineStr">
        <is>
          <t>2.4.6</t>
        </is>
      </c>
      <c r="C37" s="5" t="inlineStr">
        <is>
          <t>ติดตามและรายงานผลการบริหารความเสี่ยงและการควบคุมของความเสี่ยงปีปัจจุบัน</t>
        </is>
      </c>
      <c r="D37" s="5" t="inlineStr">
        <is>
          <t>2.</t>
        </is>
      </c>
      <c r="E37" s="6" t="inlineStr">
        <is>
          <t>ดำเนินการ ติดตามและรายงานผลการบริหารความ ตามแผนในเดือนม.ค. (สรุปย่อ — แก้เป็นเนื้อหาจริงได้)</t>
        </is>
      </c>
      <c r="F37" s="6" t="inlineStr">
        <is>
          <t>ดำเนินการ ติดตามและรายงานผลการบริหารความ ตามแผนในเดือนก.พ. (สรุปย่อ — แก้เป็นเนื้อหาจริงได้)</t>
        </is>
      </c>
      <c r="G37" s="6" t="inlineStr">
        <is>
          <t>ดำเนินการ ติดตามและรายงานผลการบริหารความ ตามแผนในเดือนมี.ค. (สรุปย่อ — แก้เป็นเนื้อหาจริงได้)</t>
        </is>
      </c>
      <c r="H37" s="6" t="inlineStr">
        <is>
          <t>ดำเนินการ ติดตามและรายงานผลการบริหารความ ตามแผนในเดือนเม.ย. (สรุปย่อ — แก้เป็นเนื้อหาจริงได้)</t>
        </is>
      </c>
      <c r="I37" s="6" t="inlineStr">
        <is>
          <t>ดำเนินการ ติดตามและรายงานผลการบริหารความ ตามแผนในเดือนพ.ค. (สรุปย่อ — แก้เป็นเนื้อหาจริงได้)</t>
        </is>
      </c>
      <c r="J37" s="6" t="inlineStr">
        <is>
          <t>ดำเนินการ ติดตามและรายงานผลการบริหารความ ตามแผนในเดือนมิ.ย. (สรุปย่อ — แก้เป็นเนื้อหาจริงได้)</t>
        </is>
      </c>
      <c r="K37" s="6" t="n"/>
      <c r="L37" s="6" t="n"/>
      <c r="M37" s="6" t="n"/>
      <c r="N37" s="6" t="n"/>
      <c r="O37" s="6" t="n"/>
      <c r="P37" s="6" t="n"/>
    </row>
    <row r="38" ht="43.5" customHeight="1">
      <c r="A38" s="5" t="inlineStr">
        <is>
          <t>M_2.4.7</t>
        </is>
      </c>
      <c r="B38" s="5" t="inlineStr">
        <is>
          <t>2.4.7</t>
        </is>
      </c>
      <c r="C38" s="5" t="inlineStr">
        <is>
          <t>พัฒนาระบบเทคโนโลยีดิจิทัลเพื่อสนับสนุนกระบวนการบริหารความเสี่ยง และระบบเตือนภัยล่วงหน้า</t>
        </is>
      </c>
      <c r="D38" s="5" t="inlineStr">
        <is>
          <t>2.</t>
        </is>
      </c>
      <c r="E38" s="6" t="inlineStr">
        <is>
          <t>ดำเนินการ พัฒนาระบบเทคโนโลยีดิจิทัลเพื่อ ตามแผนในเดือนม.ค. (สรุปย่อ — แก้เป็นเนื้อหาจริงได้)</t>
        </is>
      </c>
      <c r="F38" s="6" t="inlineStr">
        <is>
          <t>ดำเนินการ พัฒนาระบบเทคโนโลยีดิจิทัลเพื่อ ตามแผนในเดือนก.พ. (สรุปย่อ — แก้เป็นเนื้อหาจริงได้)</t>
        </is>
      </c>
      <c r="G38" s="6" t="inlineStr">
        <is>
          <t>ดำเนินการ พัฒนาระบบเทคโนโลยีดิจิทัลเพื่อ ตามแผนในเดือนมี.ค. (สรุปย่อ — แก้เป็นเนื้อหาจริงได้)</t>
        </is>
      </c>
      <c r="H38" s="6" t="inlineStr">
        <is>
          <t>ดำเนินการ พัฒนาระบบเทคโนโลยีดิจิทัลเพื่อ ตามแผนในเดือนเม.ย. (สรุปย่อ — แก้เป็นเนื้อหาจริงได้)</t>
        </is>
      </c>
      <c r="I38" s="6" t="inlineStr">
        <is>
          <t>ดำเนินการ พัฒนาระบบเทคโนโลยีดิจิทัลเพื่อ ตามแผนในเดือนพ.ค. (สรุปย่อ — แก้เป็นเนื้อหาจริงได้)</t>
        </is>
      </c>
      <c r="J38" s="6" t="inlineStr">
        <is>
          <t>ดำเนินการ พัฒนาระบบเทคโนโลยีดิจิทัลเพื่อ ตามแผนในเดือนมิ.ย. (สรุปย่อ — แก้เป็นเนื้อหาจริงได้)</t>
        </is>
      </c>
      <c r="K38" s="6" t="n"/>
      <c r="L38" s="6" t="n"/>
      <c r="M38" s="6" t="n"/>
      <c r="N38" s="6" t="n"/>
      <c r="O38" s="6" t="n"/>
      <c r="P38" s="6" t="n"/>
    </row>
    <row r="39" ht="29" customHeight="1">
      <c r="A39" s="5" t="inlineStr">
        <is>
          <t>M_2.4.8</t>
        </is>
      </c>
      <c r="B39" s="5" t="inlineStr">
        <is>
          <t>2.4.8</t>
        </is>
      </c>
      <c r="C39" s="5" t="inlineStr">
        <is>
          <t>ทบทวน ประเมินประสิทธิผล และปรับปรุงกระบวนการบริหารความเสี่ยง</t>
        </is>
      </c>
      <c r="D39" s="5" t="inlineStr">
        <is>
          <t>2.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 ht="43.5" customHeight="1">
      <c r="A40" s="5" t="inlineStr">
        <is>
          <t>M_2.5.1</t>
        </is>
      </c>
      <c r="B40" s="5" t="inlineStr">
        <is>
          <t>2.5.1</t>
        </is>
      </c>
      <c r="C40" s="5" t="inlineStr">
        <is>
          <t>วิเคราะห์ผลกระทบทางธุรกิจ ประเมินความเสี่ยง ทบทวนกลยุทธ์ และ BCP</t>
        </is>
      </c>
      <c r="D40" s="5" t="inlineStr">
        <is>
          <t>2.</t>
        </is>
      </c>
      <c r="E40" s="6" t="inlineStr">
        <is>
          <t>ดำเนินการ วิเคราะห์ผลกระทบทางธุรกิจ ประเ ตามแผนในเดือนม.ค. (สรุปย่อ — แก้เป็นเนื้อหาจริงได้)</t>
        </is>
      </c>
      <c r="F40" s="6" t="inlineStr">
        <is>
          <t>ดำเนินการ วิเคราะห์ผลกระทบทางธุรกิจ ประเ ตามแผนในเดือนก.พ. (สรุปย่อ — แก้เป็นเนื้อหาจริงได้)</t>
        </is>
      </c>
      <c r="G40" s="6" t="inlineStr">
        <is>
          <t>ดำเนินการ วิเคราะห์ผลกระทบทางธุรกิจ ประเ ตามแผนในเดือนมี.ค. (สรุปย่อ — แก้เป็นเนื้อหาจริงได้)</t>
        </is>
      </c>
      <c r="H40" s="6" t="inlineStr">
        <is>
          <t>ดำเนินการ วิเคราะห์ผลกระทบทางธุรกิจ ประเ ตามแผนในเดือนเม.ย. (สรุปย่อ — แก้เป็นเนื้อหาจริงได้)</t>
        </is>
      </c>
      <c r="I40" s="6" t="inlineStr">
        <is>
          <t>ดำเนินการ วิเคราะห์ผลกระทบทางธุรกิจ ประเ ตามแผนในเดือนพ.ค. (สรุปย่อ — แก้เป็นเนื้อหาจริงได้)</t>
        </is>
      </c>
      <c r="J40" s="6" t="inlineStr">
        <is>
          <t>ดำเนินการ วิเคราะห์ผลกระทบทางธุรกิจ ประเ ตามแผนในเดือนมิ.ย. (สรุปย่อ — แก้เป็นเนื้อหาจริงได้)</t>
        </is>
      </c>
      <c r="K40" s="6" t="n"/>
      <c r="L40" s="6" t="n"/>
      <c r="M40" s="6" t="n"/>
      <c r="N40" s="6" t="n"/>
      <c r="O40" s="6" t="n"/>
      <c r="P40" s="6" t="n"/>
    </row>
    <row r="41" ht="43.5" customHeight="1">
      <c r="A41" s="5" t="inlineStr">
        <is>
          <t>M_2.5.2</t>
        </is>
      </c>
      <c r="B41" s="5" t="inlineStr">
        <is>
          <t>2.5.2</t>
        </is>
      </c>
      <c r="C41" s="5" t="inlineStr">
        <is>
          <t>ติดตามและเข้าร่วมฝึกซ้อม BCP ของหน่วยงาน</t>
        </is>
      </c>
      <c r="D41" s="5" t="inlineStr">
        <is>
          <t>2.</t>
        </is>
      </c>
      <c r="E41" s="6" t="n"/>
      <c r="F41" s="6" t="n"/>
      <c r="G41" s="6" t="inlineStr">
        <is>
          <t>ดำเนินการ ติดตามและเข้าร่วมฝึกซ้อม BCP ข ตามแผนในเดือนมี.ค. (สรุปย่อ — แก้เป็นเนื้อหาจริงได้)</t>
        </is>
      </c>
      <c r="H41" s="6" t="inlineStr">
        <is>
          <t>ดำเนินการ ติดตามและเข้าร่วมฝึกซ้อม BCP ข ตามแผนในเดือนเม.ย. (สรุปย่อ — แก้เป็นเนื้อหาจริงได้)</t>
        </is>
      </c>
      <c r="I41" s="6" t="inlineStr">
        <is>
          <t>ดำเนินการ ติดตามและเข้าร่วมฝึกซ้อม BCP ข ตามแผนในเดือนพ.ค. (สรุปย่อ — แก้เป็นเนื้อหาจริงได้)</t>
        </is>
      </c>
      <c r="J41" s="6" t="inlineStr">
        <is>
          <t>ดำเนินการ ติดตามและเข้าร่วมฝึกซ้อม BCP ข ตามแผนในเดือนมิ.ย. (สรุปย่อ — แก้เป็นเนื้อหาจริงได้)</t>
        </is>
      </c>
      <c r="K41" s="6" t="n"/>
      <c r="L41" s="6" t="n"/>
      <c r="M41" s="6" t="n"/>
      <c r="N41" s="6" t="n"/>
      <c r="O41" s="6" t="n"/>
      <c r="P41" s="6" t="n"/>
    </row>
    <row r="42" ht="29" customHeight="1">
      <c r="A42" s="5" t="inlineStr">
        <is>
          <t>M_2.5.3</t>
        </is>
      </c>
      <c r="B42" s="5" t="inlineStr">
        <is>
          <t>2.5.3</t>
        </is>
      </c>
      <c r="C42" s="5" t="inlineStr">
        <is>
          <t>ฝึกซ้อมสถานการณ์ใหญ่</t>
        </is>
      </c>
      <c r="D42" s="5" t="inlineStr">
        <is>
          <t>2.</t>
        </is>
      </c>
      <c r="E42" s="6" t="n"/>
      <c r="F42" s="6" t="n"/>
      <c r="G42" s="6" t="inlineStr">
        <is>
          <t>ดำเนินการ ฝึกซ้อมสถานการณ์ใหญ่ ตามแผนในเดือนมี.ค. (สรุปย่อ — แก้เป็นเนื้อหาจริงได้)</t>
        </is>
      </c>
      <c r="H42" s="6" t="inlineStr">
        <is>
          <t>ดำเนินการ ฝึกซ้อมสถานการณ์ใหญ่ ตามแผนในเดือนเม.ย. (สรุปย่อ — แก้เป็นเนื้อหาจริงได้)</t>
        </is>
      </c>
      <c r="I42" s="6" t="inlineStr">
        <is>
          <t>ดำเนินการ ฝึกซ้อมสถานการณ์ใหญ่ ตามแผนในเดือนพ.ค. (สรุปย่อ — แก้เป็นเนื้อหาจริงได้)</t>
        </is>
      </c>
      <c r="J42" s="6" t="inlineStr">
        <is>
          <t>ดำเนินการ ฝึกซ้อมสถานการณ์ใหญ่ ตามแผนในเดือนมิ.ย. (สรุปย่อ — แก้เป็นเนื้อหาจริงได้)</t>
        </is>
      </c>
      <c r="K42" s="6" t="n"/>
      <c r="L42" s="6" t="n"/>
      <c r="M42" s="6" t="n"/>
      <c r="N42" s="6" t="n"/>
      <c r="O42" s="6" t="n"/>
      <c r="P42" s="6" t="n"/>
    </row>
    <row r="43" ht="43.5" customHeight="1">
      <c r="A43" s="5" t="inlineStr">
        <is>
          <t>M_2.5.4</t>
        </is>
      </c>
      <c r="B43" s="5" t="inlineStr">
        <is>
          <t>2.5.4</t>
        </is>
      </c>
      <c r="C43" s="5" t="inlineStr">
        <is>
          <t>สร้างความตระหนักและสื่อสารข้อมูลเกี่ยวกับการบริหารความต่อเนื่องทางธุรกิจ</t>
        </is>
      </c>
      <c r="D43" s="5" t="inlineStr">
        <is>
          <t>2.</t>
        </is>
      </c>
      <c r="E43" s="6" t="inlineStr">
        <is>
          <t>ดำเนินการ สร้างความตระหนักและสื่อสารข้อม ตามแผนในเดือนม.ค. (สรุปย่อ — แก้เป็นเนื้อหาจริงได้)</t>
        </is>
      </c>
      <c r="F43" s="6" t="inlineStr">
        <is>
          <t>ดำเนินการ สร้างความตระหนักและสื่อสารข้อม ตามแผนในเดือนก.พ. (สรุปย่อ — แก้เป็นเนื้อหาจริงได้)</t>
        </is>
      </c>
      <c r="G43" s="6" t="inlineStr">
        <is>
          <t>ดำเนินการ สร้างความตระหนักและสื่อสารข้อม ตามแผนในเดือนมี.ค. (สรุปย่อ — แก้เป็นเนื้อหาจริงได้)</t>
        </is>
      </c>
      <c r="H43" s="6" t="inlineStr">
        <is>
          <t>ดำเนินการ สร้างความตระหนักและสื่อสารข้อม ตามแผนในเดือนเม.ย. (สรุปย่อ — แก้เป็นเนื้อหาจริงได้)</t>
        </is>
      </c>
      <c r="I43" s="6" t="inlineStr">
        <is>
          <t>ดำเนินการ สร้างความตระหนักและสื่อสารข้อม ตามแผนในเดือนพ.ค. (สรุปย่อ — แก้เป็นเนื้อหาจริงได้)</t>
        </is>
      </c>
      <c r="J43" s="6" t="inlineStr">
        <is>
          <t>ดำเนินการ สร้างความตระหนักและสื่อสารข้อม ตามแผนในเดือนมิ.ย. (สรุปย่อ — แก้เป็นเนื้อหาจริงได้)</t>
        </is>
      </c>
      <c r="K43" s="6" t="n"/>
      <c r="L43" s="6" t="n"/>
      <c r="M43" s="6" t="n"/>
      <c r="N43" s="6" t="n"/>
      <c r="O43" s="6" t="n"/>
      <c r="P43" s="6" t="n"/>
    </row>
    <row r="44" ht="43.5" customHeight="1">
      <c r="A44" s="5" t="inlineStr">
        <is>
          <t>M_2.5.5</t>
        </is>
      </c>
      <c r="B44" s="5" t="inlineStr">
        <is>
          <t>2.5.5</t>
        </is>
      </c>
      <c r="C44" s="5" t="inlineStr">
        <is>
          <t>ตรวจประเมินภายใน/ภายนอก พร้อมทบทวนและปรับปรุงการบริหารความต่อเนื่องทางธุรกิจและความพร้อมใช้ของระบบ</t>
        </is>
      </c>
      <c r="D44" s="5" t="inlineStr">
        <is>
          <t>2.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</row>
    <row r="45" ht="43.5" customHeight="1">
      <c r="A45" s="5" t="inlineStr">
        <is>
          <t>P_3.1</t>
        </is>
      </c>
      <c r="B45" s="5" t="inlineStr">
        <is>
          <t>3.1</t>
        </is>
      </c>
      <c r="C45" s="5" t="inlineStr">
        <is>
          <t>ปรับปรุงฐานข้อมูลที่ใช้ในการวิเคราะห์และติดตามการดำเนินงานแบบบูรณาการในกระบวนการทำงานที่สำคัญ</t>
        </is>
      </c>
      <c r="D45" s="5" t="inlineStr">
        <is>
          <t>3.</t>
        </is>
      </c>
      <c r="E45" s="6" t="inlineStr">
        <is>
          <t>ดำเนินการ ปรับปรุงฐานข้อมูลที่ใช้ในการวิ ตามแผนในเดือนม.ค. (สรุปย่อ — แก้เป็นเนื้อหาจริงได้)</t>
        </is>
      </c>
      <c r="F45" s="6" t="inlineStr">
        <is>
          <t>ดำเนินการ ปรับปรุงฐานข้อมูลที่ใช้ในการวิ ตามแผนในเดือนก.พ. (สรุปย่อ — แก้เป็นเนื้อหาจริงได้)</t>
        </is>
      </c>
      <c r="G45" s="6" t="inlineStr">
        <is>
          <t>ดำเนินการ ปรับปรุงฐานข้อมูลที่ใช้ในการวิ ตามแผนในเดือนมี.ค. (สรุปย่อ — แก้เป็นเนื้อหาจริงได้)</t>
        </is>
      </c>
      <c r="H45" s="6" t="inlineStr">
        <is>
          <t>ดำเนินการ ปรับปรุงฐานข้อมูลที่ใช้ในการวิ ตามแผนในเดือนเม.ย. (สรุปย่อ — แก้เป็นเนื้อหาจริงได้)</t>
        </is>
      </c>
      <c r="I45" s="6" t="inlineStr">
        <is>
          <t>ดำเนินการ ปรับปรุงฐานข้อมูลที่ใช้ในการวิ ตามแผนในเดือนพ.ค. (สรุปย่อ — แก้เป็นเนื้อหาจริงได้)</t>
        </is>
      </c>
      <c r="J45" s="6" t="inlineStr">
        <is>
          <t>ดำเนินการ ปรับปรุงฐานข้อมูลที่ใช้ในการวิ ตามแผนในเดือนมิ.ย. (สรุปย่อ — แก้เป็นเนื้อหาจริงได้)</t>
        </is>
      </c>
      <c r="K45" s="6" t="n"/>
      <c r="L45" s="6" t="n"/>
      <c r="M45" s="6" t="n"/>
      <c r="N45" s="6" t="n"/>
      <c r="O45" s="6" t="n"/>
      <c r="P45" s="6" t="n"/>
    </row>
    <row r="46" ht="43.5" customHeight="1">
      <c r="A46" s="5" t="inlineStr">
        <is>
          <t>P_3.2</t>
        </is>
      </c>
      <c r="B46" s="5" t="inlineStr">
        <is>
          <t>3.2</t>
        </is>
      </c>
      <c r="C46" s="5" t="inlineStr">
        <is>
          <t>ใช้งานระบบ GRC เพื่อสนับสนุนการทำงานให้ลดความซับซ้อน ลดระยะเวลา และมีความถูกต้องแม่นยำ</t>
        </is>
      </c>
      <c r="D46" s="5" t="inlineStr">
        <is>
          <t>3.</t>
        </is>
      </c>
      <c r="E46" s="6" t="inlineStr">
        <is>
          <t>ดำเนินการ ใช้งานระบบ GRC เพื่อสนับสนุนกา ตามแผนในเดือนม.ค. (สรุปย่อ — แก้เป็นเนื้อหาจริงได้)</t>
        </is>
      </c>
      <c r="F46" s="6" t="inlineStr">
        <is>
          <t>ดำเนินการ ใช้งานระบบ GRC เพื่อสนับสนุนกา ตามแผนในเดือนก.พ. (สรุปย่อ — แก้เป็นเนื้อหาจริงได้)</t>
        </is>
      </c>
      <c r="G46" s="6" t="inlineStr">
        <is>
          <t>ดำเนินการ ใช้งานระบบ GRC เพื่อสนับสนุนกา ตามแผนในเดือนมี.ค. (สรุปย่อ — แก้เป็นเนื้อหาจริงได้)</t>
        </is>
      </c>
      <c r="H46" s="6" t="inlineStr">
        <is>
          <t>ดำเนินการ ใช้งานระบบ GRC เพื่อสนับสนุนกา ตามแผนในเดือนเม.ย. (สรุปย่อ — แก้เป็นเนื้อหาจริงได้)</t>
        </is>
      </c>
      <c r="I46" s="6" t="inlineStr">
        <is>
          <t>ดำเนินการ ใช้งานระบบ GRC เพื่อสนับสนุนกา ตามแผนในเดือนพ.ค. (สรุปย่อ — แก้เป็นเนื้อหาจริงได้)</t>
        </is>
      </c>
      <c r="J46" s="6" t="inlineStr">
        <is>
          <t>ดำเนินการ ใช้งานระบบ GRC เพื่อสนับสนุนกา ตามแผนในเดือนมิ.ย. (สรุปย่อ — แก้เป็นเนื้อหาจริงได้)</t>
        </is>
      </c>
      <c r="K46" s="6" t="n"/>
      <c r="L46" s="6" t="n"/>
      <c r="M46" s="6" t="n"/>
      <c r="N46" s="6" t="n"/>
      <c r="O46" s="6" t="n"/>
      <c r="P46" s="6" t="n"/>
    </row>
    <row r="47" ht="72.5" customHeight="1">
      <c r="A47" s="5" t="inlineStr">
        <is>
          <t>P_3.3</t>
        </is>
      </c>
      <c r="B47" s="5" t="inlineStr">
        <is>
          <t>3.3</t>
        </is>
      </c>
      <c r="C47" s="5" t="inlineStr">
        <is>
          <t>ทบทวนการทำ Value Creation และ Value Enhancement ที่เชื่อมโยงกับกระบวนการกำหนดตำแหน่งเชิงยุทธศาสตร์ วัตถุประสงค์เชิงยุทธศาสตร์ แผนยุทธศาสตร์องค์กร และแผนแม่บทอื่นๆ ที่เกี่ยวข้องอย่างต่อเนื่อง</t>
        </is>
      </c>
      <c r="D47" s="5" t="inlineStr">
        <is>
          <t>3.</t>
        </is>
      </c>
      <c r="E47" s="6" t="inlineStr">
        <is>
          <t>ดำเนินการ ทบทวนการทำ Value Creation และ  ตามแผนในเดือนม.ค. (สรุปย่อ — แก้เป็นเนื้อหาจริงได้)</t>
        </is>
      </c>
      <c r="F47" s="6" t="inlineStr">
        <is>
          <t>ดำเนินการ ทบทวนการทำ Value Creation และ  ตามแผนในเดือนก.พ. (สรุปย่อ — แก้เป็นเนื้อหาจริงได้)</t>
        </is>
      </c>
      <c r="G47" s="6" t="inlineStr">
        <is>
          <t>ดำเนินการ ทบทวนการทำ Value Creation และ  ตามแผนในเดือนมี.ค. (สรุปย่อ — แก้เป็นเนื้อหาจริงได้)</t>
        </is>
      </c>
      <c r="H47" s="6" t="inlineStr">
        <is>
          <t>ดำเนินการ ทบทวนการทำ Value Creation และ  ตามแผนในเดือนเม.ย. (สรุปย่อ — แก้เป็นเนื้อหาจริงได้)</t>
        </is>
      </c>
      <c r="I47" s="6" t="inlineStr">
        <is>
          <t>ดำเนินการ ทบทวนการทำ Value Creation และ  ตามแผนในเดือนพ.ค. (สรุปย่อ — แก้เป็นเนื้อหาจริงได้)</t>
        </is>
      </c>
      <c r="J47" s="6" t="inlineStr">
        <is>
          <t>ดำเนินการ ทบทวนการทำ Value Creation และ  ตามแผนในเดือนมิ.ย. (สรุปย่อ — แก้เป็นเนื้อหาจริงได้)</t>
        </is>
      </c>
      <c r="K47" s="6" t="n"/>
      <c r="L47" s="6" t="n"/>
      <c r="M47" s="6" t="n"/>
      <c r="N47" s="6" t="n"/>
      <c r="O47" s="6" t="n"/>
      <c r="P47" s="6" t="n"/>
    </row>
    <row r="48" ht="43.5" customHeight="1">
      <c r="A48" s="5" t="inlineStr">
        <is>
          <t>P_3.4</t>
        </is>
      </c>
      <c r="B48" s="5" t="inlineStr">
        <is>
          <t>3.4</t>
        </is>
      </c>
      <c r="C48" s="5" t="inlineStr">
        <is>
          <t>กำหนดกระบวนการในการวิเคราะห์ถึงภาพรวมของความเสี่ยง (Portfolio View of Risk)</t>
        </is>
      </c>
      <c r="D48" s="5" t="inlineStr">
        <is>
          <t>3.</t>
        </is>
      </c>
      <c r="E48" s="6" t="inlineStr">
        <is>
          <t>ดำเนินการ กำหนดกระบวนการในการวิเคราะห์ถึ ตามแผนในเดือนม.ค. (สรุปย่อ — แก้เป็นเนื้อหาจริงได้)</t>
        </is>
      </c>
      <c r="F48" s="6" t="inlineStr">
        <is>
          <t>ดำเนินการ กำหนดกระบวนการในการวิเคราะห์ถึ ตามแผนในเดือนก.พ. (สรุปย่อ — แก้เป็นเนื้อหาจริงได้)</t>
        </is>
      </c>
      <c r="G48" s="6" t="inlineStr">
        <is>
          <t>ดำเนินการ กำหนดกระบวนการในการวิเคราะห์ถึ ตามแผนในเดือนมี.ค. (สรุปย่อ — แก้เป็นเนื้อหาจริงได้)</t>
        </is>
      </c>
      <c r="H48" s="6" t="inlineStr">
        <is>
          <t>ดำเนินการ กำหนดกระบวนการในการวิเคราะห์ถึ ตามแผนในเดือนเม.ย. (สรุปย่อ — แก้เป็นเนื้อหาจริงได้)</t>
        </is>
      </c>
      <c r="I48" s="6" t="inlineStr">
        <is>
          <t>ดำเนินการ กำหนดกระบวนการในการวิเคราะห์ถึ ตามแผนในเดือนพ.ค. (สรุปย่อ — แก้เป็นเนื้อหาจริงได้)</t>
        </is>
      </c>
      <c r="J48" s="6" t="inlineStr">
        <is>
          <t>ดำเนินการ กำหนดกระบวนการในการวิเคราะห์ถึ ตามแผนในเดือนมิ.ย. (สรุปย่อ — แก้เป็นเนื้อหาจริงได้)</t>
        </is>
      </c>
      <c r="K48" s="6" t="n"/>
      <c r="L48" s="6" t="n"/>
      <c r="M48" s="6" t="n"/>
      <c r="N48" s="6" t="n"/>
      <c r="O48" s="6" t="n"/>
      <c r="P48" s="6" t="n"/>
    </row>
    <row r="49" ht="43.5" customHeight="1">
      <c r="A49" s="5" t="inlineStr">
        <is>
          <t>P_3.5</t>
        </is>
      </c>
      <c r="B49" s="5" t="inlineStr">
        <is>
          <t>3.5</t>
        </is>
      </c>
      <c r="C49" s="5" t="inlineStr">
        <is>
          <t>พัฒนา Portfolio View of Risk แสดงการจัดทำแบบจำลองที่เหมาะสม/นำแบบจำลองดังกล่าวไปใช้ในการบริหารความเสี่ยงในภาพรวม</t>
        </is>
      </c>
      <c r="D49" s="5" t="inlineStr">
        <is>
          <t>3.</t>
        </is>
      </c>
      <c r="E49" s="6" t="inlineStr">
        <is>
          <t>ดำเนินการ พัฒนา Portfolio View of Risk แ ตามแผนในเดือนม.ค. (สรุปย่อ — แก้เป็นเนื้อหาจริงได้)</t>
        </is>
      </c>
      <c r="F49" s="6" t="inlineStr">
        <is>
          <t>ดำเนินการ พัฒนา Portfolio View of Risk แ ตามแผนในเดือนก.พ. (สรุปย่อ — แก้เป็นเนื้อหาจริงได้)</t>
        </is>
      </c>
      <c r="G49" s="6" t="inlineStr">
        <is>
          <t>ดำเนินการ พัฒนา Portfolio View of Risk แ ตามแผนในเดือนมี.ค. (สรุปย่อ — แก้เป็นเนื้อหาจริงได้)</t>
        </is>
      </c>
      <c r="H49" s="6" t="inlineStr">
        <is>
          <t>ดำเนินการ พัฒนา Portfolio View of Risk แ ตามแผนในเดือนเม.ย. (สรุปย่อ — แก้เป็นเนื้อหาจริงได้)</t>
        </is>
      </c>
      <c r="I49" s="6" t="inlineStr">
        <is>
          <t>ดำเนินการ พัฒนา Portfolio View of Risk แ ตามแผนในเดือนพ.ค. (สรุปย่อ — แก้เป็นเนื้อหาจริงได้)</t>
        </is>
      </c>
      <c r="J49" s="6" t="inlineStr">
        <is>
          <t>ดำเนินการ พัฒนา Portfolio View of Risk แ ตามแผนในเดือนมิ.ย. (สรุปย่อ — แก้เป็นเนื้อหาจริงได้)</t>
        </is>
      </c>
      <c r="K49" s="6" t="n"/>
      <c r="L49" s="6" t="n"/>
      <c r="M49" s="6" t="n"/>
      <c r="N49" s="6" t="n"/>
      <c r="O49" s="6" t="n"/>
      <c r="P4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8.81640625" defaultRowHeight="14.5"/>
  <cols>
    <col width="10" customWidth="1" min="1" max="1"/>
    <col width="95" customWidth="1" min="2" max="2"/>
  </cols>
  <sheetData>
    <row r="1" ht="22" customHeight="1">
      <c r="A1" s="1" t="inlineStr">
        <is>
          <t>เดือน</t>
        </is>
      </c>
      <c r="B1" s="1" t="inlineStr">
        <is>
          <t>รายงานภาพรวมประจำเดือน</t>
        </is>
      </c>
    </row>
    <row r="2">
      <c r="A2" s="4" t="inlineStr">
        <is>
          <t>ม.ค.</t>
        </is>
      </c>
      <c r="B2" s="6" t="inlineStr">
        <is>
          <t>ภาพรวมการดำเนินงานตามแผนบริหารความเสี่ยงประจำเดือนม.ค. — (แก้เป็นเนื้อหาสรุปจริง)</t>
        </is>
      </c>
    </row>
    <row r="3">
      <c r="A3" s="4" t="inlineStr">
        <is>
          <t>ก.พ.</t>
        </is>
      </c>
      <c r="B3" s="6" t="inlineStr">
        <is>
          <t>ภาพรวมการดำเนินงานตามแผนบริหารความเสี่ยงประจำเดือนก.พ. — (แก้เป็นเนื้อหาสรุปจริง)</t>
        </is>
      </c>
    </row>
    <row r="4">
      <c r="A4" s="4" t="inlineStr">
        <is>
          <t>มี.ค.</t>
        </is>
      </c>
      <c r="B4" s="6" t="inlineStr">
        <is>
          <t>ภาพรวมการดำเนินงานตามแผนบริหารความเสี่ยงประจำเดือนมี.ค. — (แก้เป็นเนื้อหาสรุปจริง)</t>
        </is>
      </c>
    </row>
    <row r="5">
      <c r="A5" s="4" t="inlineStr">
        <is>
          <t>เม.ย.</t>
        </is>
      </c>
      <c r="B5" s="6" t="inlineStr">
        <is>
          <t>ภาพรวมการดำเนินงานตามแผนบริหารความเสี่ยงประจำเดือนเม.ย. — (แก้เป็นเนื้อหาสรุปจริง)</t>
        </is>
      </c>
    </row>
    <row r="6">
      <c r="A6" s="4" t="inlineStr">
        <is>
          <t>พ.ค.</t>
        </is>
      </c>
      <c r="B6" s="6" t="inlineStr">
        <is>
          <t>ภาพรวมการดำเนินงานตามแผนบริหารความเสี่ยงประจำเดือนพ.ค. — (แก้เป็นเนื้อหาสรุปจริง)</t>
        </is>
      </c>
    </row>
    <row r="7">
      <c r="A7" s="4" t="inlineStr">
        <is>
          <t>มิ.ย.</t>
        </is>
      </c>
      <c r="B7" s="6" t="inlineStr">
        <is>
          <t>ภาพรวมการดำเนินงานตามแผนบริหารความเสี่ยงประจำเดือนมิ.ย. — (แก้เป็นเนื้อหาสรุปจริง)</t>
        </is>
      </c>
    </row>
    <row r="8">
      <c r="A8" s="4" t="inlineStr">
        <is>
          <t>ก.ค.</t>
        </is>
      </c>
      <c r="B8" s="6" t="n"/>
    </row>
    <row r="9">
      <c r="A9" s="4" t="inlineStr">
        <is>
          <t>ส.ค.</t>
        </is>
      </c>
      <c r="B9" s="6" t="n"/>
    </row>
    <row r="10">
      <c r="A10" s="4" t="inlineStr">
        <is>
          <t>ก.ย.</t>
        </is>
      </c>
      <c r="B10" s="6" t="n"/>
    </row>
    <row r="11">
      <c r="A11" s="4" t="inlineStr">
        <is>
          <t>ต.ค.</t>
        </is>
      </c>
      <c r="B11" s="6" t="n"/>
    </row>
    <row r="12">
      <c r="A12" s="4" t="inlineStr">
        <is>
          <t>พ.ย.</t>
        </is>
      </c>
      <c r="B12" s="6" t="n"/>
    </row>
    <row r="13">
      <c r="A13" s="4" t="inlineStr">
        <is>
          <t>ธ.ค.</t>
        </is>
      </c>
      <c r="B13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E4" sqref="E4"/>
    </sheetView>
  </sheetViews>
  <sheetFormatPr baseColWidth="8" defaultColWidth="8.81640625" defaultRowHeight="14.5"/>
  <cols>
    <col width="34" customWidth="1" min="1" max="1"/>
    <col width="9" customWidth="1" min="2" max="14"/>
  </cols>
  <sheetData>
    <row r="1" ht="22" customHeight="1">
      <c r="A1" s="1" t="inlineStr">
        <is>
          <t>แผนหลัก</t>
        </is>
      </c>
      <c r="B1" s="1" t="inlineStr">
        <is>
          <t>รหัสแผน</t>
        </is>
      </c>
      <c r="C1" s="1" t="inlineStr">
        <is>
          <t>ม.ค.</t>
        </is>
      </c>
      <c r="D1" s="1" t="inlineStr">
        <is>
          <t>ก.พ.</t>
        </is>
      </c>
      <c r="E1" s="1" t="inlineStr">
        <is>
          <t>มี.ค.</t>
        </is>
      </c>
      <c r="F1" s="1" t="inlineStr">
        <is>
          <t>เม.ย.</t>
        </is>
      </c>
      <c r="G1" s="1" t="inlineStr">
        <is>
          <t>พ.ค.</t>
        </is>
      </c>
      <c r="H1" s="1" t="inlineStr">
        <is>
          <t>มิ.ย.</t>
        </is>
      </c>
      <c r="I1" s="1" t="inlineStr">
        <is>
          <t>ก.ค.</t>
        </is>
      </c>
      <c r="J1" s="1" t="inlineStr">
        <is>
          <t>ส.ค.</t>
        </is>
      </c>
      <c r="K1" s="1" t="inlineStr">
        <is>
          <t>ก.ย.</t>
        </is>
      </c>
      <c r="L1" s="1" t="inlineStr">
        <is>
          <t>ต.ค.</t>
        </is>
      </c>
      <c r="M1" s="1" t="inlineStr">
        <is>
          <t>พ.ย.</t>
        </is>
      </c>
      <c r="N1" s="1" t="inlineStr">
        <is>
          <t>ธ.ค.</t>
        </is>
      </c>
    </row>
    <row r="2" ht="43.5" customHeight="1">
      <c r="A2" s="5" t="inlineStr">
        <is>
          <t>1. แผนปรับปรุงการบูรณาการการกำกับดูแลกิจการที่ดี การบริหารความเสี่ยง และการปฏิบัติตามกฎ ระเบียบ (GRC)</t>
        </is>
      </c>
      <c r="B2" s="4" t="inlineStr">
        <is>
          <t>1.</t>
        </is>
      </c>
      <c r="C2" s="10">
        <f>IFERROR(SUMPRODUCT((บันทึกผล!$B$2:$B$49=$B2)*บันทึกผล!$AH$2:$AH$49*N(บันทึกผล!G$2:G$49))/SUMPRODUCT((บันทึกผล!$B$2:$B$49=$B2)*บันทึกผล!$AH$2:$AH$49),"")</f>
        <v/>
      </c>
      <c r="D2" s="10">
        <f>IFERROR(SUMPRODUCT((บันทึกผล!$B$2:$B$49=$B2)*บันทึกผล!$AH$2:$AH$49*N(บันทึกผล!H$2:H$49))/SUMPRODUCT((บันทึกผล!$B$2:$B$49=$B2)*บันทึกผล!$AH$2:$AH$49),"")</f>
        <v/>
      </c>
      <c r="E2" s="10">
        <f>IFERROR(SUMPRODUCT((บันทึกผล!$B$2:$B$49=$B2)*บันทึกผล!$AH$2:$AH$49*N(บันทึกผล!I$2:I$49))/SUMPRODUCT((บันทึกผล!$B$2:$B$49=$B2)*บันทึกผล!$AH$2:$AH$49),"")</f>
        <v/>
      </c>
      <c r="F2" s="10">
        <f>IFERROR(SUMPRODUCT((บันทึกผล!$B$2:$B$49=$B2)*บันทึกผล!$AH$2:$AH$49*N(บันทึกผล!J$2:J$49))/SUMPRODUCT((บันทึกผล!$B$2:$B$49=$B2)*บันทึกผล!$AH$2:$AH$49),"")</f>
        <v/>
      </c>
      <c r="G2" s="10">
        <f>IFERROR(SUMPRODUCT((บันทึกผล!$B$2:$B$49=$B2)*บันทึกผล!$AH$2:$AH$49*N(บันทึกผล!K$2:K$49))/SUMPRODUCT((บันทึกผล!$B$2:$B$49=$B2)*บันทึกผล!$AH$2:$AH$49),"")</f>
        <v/>
      </c>
      <c r="H2" s="10">
        <f>IFERROR(SUMPRODUCT((บันทึกผล!$B$2:$B$49=$B2)*บันทึกผล!$AH$2:$AH$49*N(บันทึกผล!L$2:L$49))/SUMPRODUCT((บันทึกผล!$B$2:$B$49=$B2)*บันทึกผล!$AH$2:$AH$49),"")</f>
        <v/>
      </c>
      <c r="I2" s="10">
        <f>IFERROR(SUMPRODUCT((บันทึกผล!$B$2:$B$49=$B2)*บันทึกผล!$AH$2:$AH$49*N(บันทึกผล!M$2:M$49))/SUMPRODUCT((บันทึกผล!$B$2:$B$49=$B2)*บันทึกผล!$AH$2:$AH$49),"")</f>
        <v/>
      </c>
      <c r="J2" s="10">
        <f>IFERROR(SUMPRODUCT((บันทึกผล!$B$2:$B$49=$B2)*บันทึกผล!$AH$2:$AH$49*N(บันทึกผล!N$2:N$49))/SUMPRODUCT((บันทึกผล!$B$2:$B$49=$B2)*บันทึกผล!$AH$2:$AH$49),"")</f>
        <v/>
      </c>
      <c r="K2" s="10">
        <f>IFERROR(SUMPRODUCT((บันทึกผล!$B$2:$B$49=$B2)*บันทึกผล!$AH$2:$AH$49*N(บันทึกผล!O$2:O$49))/SUMPRODUCT((บันทึกผล!$B$2:$B$49=$B2)*บันทึกผล!$AH$2:$AH$49),"")</f>
        <v/>
      </c>
      <c r="L2" s="10">
        <f>IFERROR(SUMPRODUCT((บันทึกผล!$B$2:$B$49=$B2)*บันทึกผล!$AH$2:$AH$49*N(บันทึกผล!P$2:P$49))/SUMPRODUCT((บันทึกผล!$B$2:$B$49=$B2)*บันทึกผล!$AH$2:$AH$49),"")</f>
        <v/>
      </c>
      <c r="M2" s="10">
        <f>IFERROR(SUMPRODUCT((บันทึกผล!$B$2:$B$49=$B2)*บันทึกผล!$AH$2:$AH$49*N(บันทึกผล!Q$2:Q$49))/SUMPRODUCT((บันทึกผล!$B$2:$B$49=$B2)*บันทึกผล!$AH$2:$AH$49),"")</f>
        <v/>
      </c>
      <c r="N2" s="10">
        <f>IFERROR(SUMPRODUCT((บันทึกผล!$B$2:$B$49=$B2)*บันทึกผล!$AH$2:$AH$49*N(บันทึกผล!R$2:R$49))/SUMPRODUCT((บันทึกผล!$B$2:$B$49=$B2)*บันทึกผล!$AH$2:$AH$49),"")</f>
        <v/>
      </c>
    </row>
    <row r="3" ht="29" customHeight="1">
      <c r="A3" s="5" t="inlineStr">
        <is>
          <t>2. แผนปฏิบัติการบริหารความเสี่ยง และการบริหารความต่อเนื่องทางธุรกิจ</t>
        </is>
      </c>
      <c r="B3" s="4" t="inlineStr">
        <is>
          <t>2.</t>
        </is>
      </c>
      <c r="C3" s="10">
        <f>IFERROR(SUMPRODUCT((บันทึกผล!$B$2:$B$49=$B3)*บันทึกผล!$AH$2:$AH$49*N(บันทึกผล!G$2:G$49))/SUMPRODUCT((บันทึกผล!$B$2:$B$49=$B3)*บันทึกผล!$AH$2:$AH$49),"")</f>
        <v/>
      </c>
      <c r="D3" s="10">
        <f>IFERROR(SUMPRODUCT((บันทึกผล!$B$2:$B$49=$B3)*บันทึกผล!$AH$2:$AH$49*N(บันทึกผล!H$2:H$49))/SUMPRODUCT((บันทึกผล!$B$2:$B$49=$B3)*บันทึกผล!$AH$2:$AH$49),"")</f>
        <v/>
      </c>
      <c r="E3" s="10">
        <f>IFERROR(SUMPRODUCT((บันทึกผล!$B$2:$B$49=$B3)*บันทึกผล!$AH$2:$AH$49*N(บันทึกผล!I$2:I$49))/SUMPRODUCT((บันทึกผล!$B$2:$B$49=$B3)*บันทึกผล!$AH$2:$AH$49),"")</f>
        <v/>
      </c>
      <c r="F3" s="10">
        <f>IFERROR(SUMPRODUCT((บันทึกผล!$B$2:$B$49=$B3)*บันทึกผล!$AH$2:$AH$49*N(บันทึกผล!J$2:J$49))/SUMPRODUCT((บันทึกผล!$B$2:$B$49=$B3)*บันทึกผล!$AH$2:$AH$49),"")</f>
        <v/>
      </c>
      <c r="G3" s="10">
        <f>IFERROR(SUMPRODUCT((บันทึกผล!$B$2:$B$49=$B3)*บันทึกผล!$AH$2:$AH$49*N(บันทึกผล!K$2:K$49))/SUMPRODUCT((บันทึกผล!$B$2:$B$49=$B3)*บันทึกผล!$AH$2:$AH$49),"")</f>
        <v/>
      </c>
      <c r="H3" s="10">
        <f>IFERROR(SUMPRODUCT((บันทึกผล!$B$2:$B$49=$B3)*บันทึกผล!$AH$2:$AH$49*N(บันทึกผล!L$2:L$49))/SUMPRODUCT((บันทึกผล!$B$2:$B$49=$B3)*บันทึกผล!$AH$2:$AH$49),"")</f>
        <v/>
      </c>
      <c r="I3" s="10">
        <f>IFERROR(SUMPRODUCT((บันทึกผล!$B$2:$B$49=$B3)*บันทึกผล!$AH$2:$AH$49*N(บันทึกผล!M$2:M$49))/SUMPRODUCT((บันทึกผล!$B$2:$B$49=$B3)*บันทึกผล!$AH$2:$AH$49),"")</f>
        <v/>
      </c>
      <c r="J3" s="10">
        <f>IFERROR(SUMPRODUCT((บันทึกผล!$B$2:$B$49=$B3)*บันทึกผล!$AH$2:$AH$49*N(บันทึกผล!N$2:N$49))/SUMPRODUCT((บันทึกผล!$B$2:$B$49=$B3)*บันทึกผล!$AH$2:$AH$49),"")</f>
        <v/>
      </c>
      <c r="K3" s="10">
        <f>IFERROR(SUMPRODUCT((บันทึกผล!$B$2:$B$49=$B3)*บันทึกผล!$AH$2:$AH$49*N(บันทึกผล!O$2:O$49))/SUMPRODUCT((บันทึกผล!$B$2:$B$49=$B3)*บันทึกผล!$AH$2:$AH$49),"")</f>
        <v/>
      </c>
      <c r="L3" s="10">
        <f>IFERROR(SUMPRODUCT((บันทึกผล!$B$2:$B$49=$B3)*บันทึกผล!$AH$2:$AH$49*N(บันทึกผล!P$2:P$49))/SUMPRODUCT((บันทึกผล!$B$2:$B$49=$B3)*บันทึกผล!$AH$2:$AH$49),"")</f>
        <v/>
      </c>
      <c r="M3" s="10">
        <f>IFERROR(SUMPRODUCT((บันทึกผล!$B$2:$B$49=$B3)*บันทึกผล!$AH$2:$AH$49*N(บันทึกผล!Q$2:Q$49))/SUMPRODUCT((บันทึกผล!$B$2:$B$49=$B3)*บันทึกผล!$AH$2:$AH$49),"")</f>
        <v/>
      </c>
      <c r="N3" s="10">
        <f>IFERROR(SUMPRODUCT((บันทึกผล!$B$2:$B$49=$B3)*บันทึกผล!$AH$2:$AH$49*N(บันทึกผล!R$2:R$49))/SUMPRODUCT((บันทึกผล!$B$2:$B$49=$B3)*บันทึกผล!$AH$2:$AH$49),"")</f>
        <v/>
      </c>
    </row>
    <row r="4" ht="29" customHeight="1">
      <c r="A4" s="5" t="inlineStr">
        <is>
          <t>3. แผนปรับปรุงองค์กรด้าน RM &amp; IC ปี 2569</t>
        </is>
      </c>
      <c r="B4" s="4" t="inlineStr">
        <is>
          <t>3.</t>
        </is>
      </c>
      <c r="C4" s="10">
        <f>IFERROR(SUMPRODUCT((บันทึกผล!$B$2:$B$49=$B4)*บันทึกผล!$AH$2:$AH$49*N(บันทึกผล!G$2:G$49))/SUMPRODUCT((บันทึกผล!$B$2:$B$49=$B4)*บันทึกผล!$AH$2:$AH$49),"")</f>
        <v/>
      </c>
      <c r="D4" s="10">
        <f>IFERROR(SUMPRODUCT((บันทึกผล!$B$2:$B$49=$B4)*บันทึกผล!$AH$2:$AH$49*N(บันทึกผล!H$2:H$49))/SUMPRODUCT((บันทึกผล!$B$2:$B$49=$B4)*บันทึกผล!$AH$2:$AH$49),"")</f>
        <v/>
      </c>
      <c r="E4" s="10">
        <f>IFERROR(SUMPRODUCT((บันทึกผล!$B$2:$B$49=$B4)*บันทึกผล!$AH$2:$AH$49*N(บันทึกผล!I$2:I$49))/SUMPRODUCT((บันทึกผล!$B$2:$B$49=$B4)*บันทึกผล!$AH$2:$AH$49),"")</f>
        <v/>
      </c>
      <c r="F4" s="10">
        <f>IFERROR(SUMPRODUCT((บันทึกผล!$B$2:$B$49=$B4)*บันทึกผล!$AH$2:$AH$49*N(บันทึกผล!J$2:J$49))/SUMPRODUCT((บันทึกผล!$B$2:$B$49=$B4)*บันทึกผล!$AH$2:$AH$49),"")</f>
        <v/>
      </c>
      <c r="G4" s="10">
        <f>IFERROR(SUMPRODUCT((บันทึกผล!$B$2:$B$49=$B4)*บันทึกผล!$AH$2:$AH$49*N(บันทึกผล!K$2:K$49))/SUMPRODUCT((บันทึกผล!$B$2:$B$49=$B4)*บันทึกผล!$AH$2:$AH$49),"")</f>
        <v/>
      </c>
      <c r="H4" s="10">
        <f>IFERROR(SUMPRODUCT((บันทึกผล!$B$2:$B$49=$B4)*บันทึกผล!$AH$2:$AH$49*N(บันทึกผล!L$2:L$49))/SUMPRODUCT((บันทึกผล!$B$2:$B$49=$B4)*บันทึกผล!$AH$2:$AH$49),"")</f>
        <v/>
      </c>
      <c r="I4" s="10">
        <f>IFERROR(SUMPRODUCT((บันทึกผล!$B$2:$B$49=$B4)*บันทึกผล!$AH$2:$AH$49*N(บันทึกผล!M$2:M$49))/SUMPRODUCT((บันทึกผล!$B$2:$B$49=$B4)*บันทึกผล!$AH$2:$AH$49),"")</f>
        <v/>
      </c>
      <c r="J4" s="10">
        <f>IFERROR(SUMPRODUCT((บันทึกผล!$B$2:$B$49=$B4)*บันทึกผล!$AH$2:$AH$49*N(บันทึกผล!N$2:N$49))/SUMPRODUCT((บันทึกผล!$B$2:$B$49=$B4)*บันทึกผล!$AH$2:$AH$49),"")</f>
        <v/>
      </c>
      <c r="K4" s="10">
        <f>IFERROR(SUMPRODUCT((บันทึกผล!$B$2:$B$49=$B4)*บันทึกผล!$AH$2:$AH$49*N(บันทึกผล!O$2:O$49))/SUMPRODUCT((บันทึกผล!$B$2:$B$49=$B4)*บันทึกผล!$AH$2:$AH$49),"")</f>
        <v/>
      </c>
      <c r="L4" s="10">
        <f>IFERROR(SUMPRODUCT((บันทึกผล!$B$2:$B$49=$B4)*บันทึกผล!$AH$2:$AH$49*N(บันทึกผล!P$2:P$49))/SUMPRODUCT((บันทึกผล!$B$2:$B$49=$B4)*บันทึกผล!$AH$2:$AH$49),"")</f>
        <v/>
      </c>
      <c r="M4" s="10">
        <f>IFERROR(SUMPRODUCT((บันทึกผล!$B$2:$B$49=$B4)*บันทึกผล!$AH$2:$AH$49*N(บันทึกผล!Q$2:Q$49))/SUMPRODUCT((บันทึกผล!$B$2:$B$49=$B4)*บันทึกผล!$AH$2:$AH$49),"")</f>
        <v/>
      </c>
      <c r="N4" s="10">
        <f>IFERROR(SUMPRODUCT((บันทึกผล!$B$2:$B$49=$B4)*บันทึกผล!$AH$2:$AH$49*N(บันทึกผล!R$2:R$49))/SUMPRODUCT((บันทึกผล!$B$2:$B$49=$B4)*บันทึกผล!$AH$2:$AH$49),"")</f>
        <v/>
      </c>
    </row>
    <row r="5">
      <c r="A5" s="5" t="inlineStr">
        <is>
          <t>รวมทั้งหมด (ถ่วงน้ำหนักทุกกิจกรรม)</t>
        </is>
      </c>
      <c r="B5" s="4" t="inlineStr">
        <is>
          <t>*</t>
        </is>
      </c>
      <c r="C5" s="10">
        <f>IFERROR(SUMPRODUCT(บันทึกผล!$AH$2:$AH$49*N(บันทึกผล!G$2:G$49))/SUMPRODUCT(บันทึกผล!$AH$2:$AH$49),"")</f>
        <v/>
      </c>
      <c r="D5" s="10">
        <f>IFERROR(SUMPRODUCT(บันทึกผล!$AH$2:$AH$49*N(บันทึกผล!H$2:H$49))/SUMPRODUCT(บันทึกผล!$AH$2:$AH$49),"")</f>
        <v/>
      </c>
      <c r="E5" s="10">
        <f>IFERROR(SUMPRODUCT(บันทึกผล!$AH$2:$AH$49*N(บันทึกผล!I$2:I$49))/SUMPRODUCT(บันทึกผล!$AH$2:$AH$49),"")</f>
        <v/>
      </c>
      <c r="F5" s="10">
        <f>IFERROR(SUMPRODUCT(บันทึกผล!$AH$2:$AH$49*N(บันทึกผล!J$2:J$49))/SUMPRODUCT(บันทึกผล!$AH$2:$AH$49),"")</f>
        <v/>
      </c>
      <c r="G5" s="10">
        <f>IFERROR(SUMPRODUCT(บันทึกผล!$AH$2:$AH$49*N(บันทึกผล!K$2:K$49))/SUMPRODUCT(บันทึกผล!$AH$2:$AH$49),"")</f>
        <v/>
      </c>
      <c r="H5" s="10">
        <f>IFERROR(SUMPRODUCT(บันทึกผล!$AH$2:$AH$49*N(บันทึกผล!L$2:L$49))/SUMPRODUCT(บันทึกผล!$AH$2:$AH$49),"")</f>
        <v/>
      </c>
      <c r="I5" s="10">
        <f>IFERROR(SUMPRODUCT(บันทึกผล!$AH$2:$AH$49*N(บันทึกผล!M$2:M$49))/SUMPRODUCT(บันทึกผล!$AH$2:$AH$49),"")</f>
        <v/>
      </c>
      <c r="J5" s="10">
        <f>IFERROR(SUMPRODUCT(บันทึกผล!$AH$2:$AH$49*N(บันทึกผล!N$2:N$49))/SUMPRODUCT(บันทึกผล!$AH$2:$AH$49),"")</f>
        <v/>
      </c>
      <c r="K5" s="10">
        <f>IFERROR(SUMPRODUCT(บันทึกผล!$AH$2:$AH$49*N(บันทึกผล!O$2:O$49))/SUMPRODUCT(บันทึกผล!$AH$2:$AH$49),"")</f>
        <v/>
      </c>
      <c r="L5" s="10">
        <f>IFERROR(SUMPRODUCT(บันทึกผล!$AH$2:$AH$49*N(บันทึกผล!P$2:P$49))/SUMPRODUCT(บันทึกผล!$AH$2:$AH$49),"")</f>
        <v/>
      </c>
      <c r="M5" s="10">
        <f>IFERROR(SUMPRODUCT(บันทึกผล!$AH$2:$AH$49*N(บันทึกผล!Q$2:Q$49))/SUMPRODUCT(บันทึกผล!$AH$2:$AH$49),"")</f>
        <v/>
      </c>
      <c r="N5" s="10">
        <f>IFERROR(SUMPRODUCT(บันทึกผล!$AH$2:$AH$49*N(บันทึกผล!R$2:R$49))/SUMPRODUCT(บันทึกผล!$AH$2:$AH$49),"")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2026-08-17T07:17:31Z</dcterms:created>
  <dcterms:modified xmlns:dcterms="http://purl.org/dc/terms/" xmlns:xsi="http://www.w3.org/2001/XMLSchema-instance" xsi:type="dcterms:W3CDTF">2026-10-30T01:52:18Z</dcterms:modified>
  <cp:lastModifiedBy>พิธิวัฒน์ ลพยิ้ม</cp:lastModifiedBy>
</cp:coreProperties>
</file>
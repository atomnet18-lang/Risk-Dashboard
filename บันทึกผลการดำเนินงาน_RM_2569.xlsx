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2AA1F7A3-1FE1-2445-9800-87AB5E9E54CD}" xr6:coauthVersionLast="47" xr6:coauthVersionMax="47" xr10:uidLastSave="{00000000-0000-0000-0000-000000000000}"/>
  <bookViews>
    <workbookView xWindow="0" yWindow="660" windowWidth="29400" windowHeight="17160" xr2:uid="{00000000-000D-0000-FFFF-FFFF00000000}"/>
  </bookViews>
  <sheets>
    <sheet name="บันทึกผล" sheetId="1" r:id="rId1"/>
    <sheet name="วิธีใช้" sheetId="2" state="hidden" r:id="rId2"/>
    <sheet name="สรุปรายเดือน_กิจกรรม" sheetId="3" state="hidden" r:id="rId3"/>
    <sheet name="รายงานประจำเดือน" sheetId="4" state="hidden" r:id="rId4"/>
    <sheet name="สรุปเป้าหมายตามแผน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5" l="1"/>
  <c r="M5" i="5"/>
  <c r="L5" i="5"/>
  <c r="K5" i="5"/>
  <c r="J5" i="5"/>
  <c r="I5" i="5"/>
  <c r="H5" i="5"/>
  <c r="G5" i="5"/>
  <c r="F5" i="5"/>
  <c r="E5" i="5"/>
  <c r="D5" i="5"/>
  <c r="C5" i="5"/>
  <c r="N4" i="5"/>
  <c r="M4" i="5"/>
  <c r="L4" i="5"/>
  <c r="K4" i="5"/>
  <c r="J4" i="5"/>
  <c r="I4" i="5"/>
  <c r="H4" i="5"/>
  <c r="G4" i="5"/>
  <c r="F4" i="5"/>
  <c r="E4" i="5"/>
  <c r="D4" i="5"/>
  <c r="C4" i="5"/>
  <c r="N3" i="5"/>
  <c r="M3" i="5"/>
  <c r="L3" i="5"/>
  <c r="K3" i="5"/>
  <c r="J3" i="5"/>
  <c r="I3" i="5"/>
  <c r="H3" i="5"/>
  <c r="G3" i="5"/>
  <c r="F3" i="5"/>
  <c r="E3" i="5"/>
  <c r="D3" i="5"/>
  <c r="C3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<sst xmlns="http://schemas.openxmlformats.org/spreadsheetml/2006/main" count="832" uniqueCount="463">
  <si>
    <t>รหัสกิจกรรม</t>
  </si>
  <si>
    <t>แผนหลัก</t>
  </si>
  <si>
    <t>แผนงานย่อย</t>
  </si>
  <si>
    <t>รหัส</t>
  </si>
  <si>
    <t>ชื่อกิจกรรม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</si>
  <si>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</si>
  <si>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</si>
  <si>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</si>
  <si>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</si>
  <si>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</si>
  <si>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</si>
  <si>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</si>
  <si>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</si>
  <si>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</si>
  <si>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</si>
  <si>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</si>
  <si>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</si>
  <si>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</si>
  <si>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</si>
  <si>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</si>
  <si>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</si>
  <si>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</si>
  <si>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</si>
  <si>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</si>
  <si>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</si>
  <si>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</si>
  <si>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</si>
  <si>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</si>
  <si>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</si>
  <si>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</si>
  <si>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</si>
  <si>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</si>
  <si>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</si>
  <si>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ถ่วงน้ำหนัก(%)</t>
  </si>
  <si>
    <t>P_1.1</t>
  </si>
  <si>
    <t>1.</t>
  </si>
  <si>
    <t>1.1</t>
  </si>
  <si>
    <t>การปรับปรุงโครงสร้างการดำเนินงานด้าน GRC เพื่อการดำเนินงานระดับสายงาน</t>
  </si>
  <si>
    <t>ดำเนินการ การปรับปรุงโครงสร้าง (ถึง มิ.ย.)</t>
  </si>
  <si>
    <t>-</t>
  </si>
  <si>
    <t>P_1.2</t>
  </si>
  <si>
    <t>1.2</t>
  </si>
  <si>
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</si>
  <si>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ดำเนินการ โครงสร้างหน่วยงานที่ (ถึง มิ.ย.)</t>
  </si>
  <si>
    <t>P_1.3</t>
  </si>
  <si>
    <t>1.3</t>
  </si>
  <si>
    <t>การจัดทำ Risk Taxonomy เพื่อความสอดคล้องในการระบุ และจัดประเภทความเสี่ยง</t>
  </si>
  <si>
    <t>ดำเนินการ การจัดทำ Risk Taxono (ถึง มิ.ย.)</t>
  </si>
  <si>
    <t>P_1.4</t>
  </si>
  <si>
    <t>1.4</t>
  </si>
  <si>
    <t>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</si>
  <si>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ดำเนินการ การวิเคราะห์ตัวชี้วั (ถึง มิ.ย.)</t>
  </si>
  <si>
    <t>P_1.5</t>
  </si>
  <si>
    <t>1.5</t>
  </si>
  <si>
    <t>การสร้างวัฒนธรรม GRC ผ่าน GRC Survey และการสนทนากลุ่ม (Focus Group)</t>
  </si>
  <si>
    <t>P_1.6</t>
  </si>
  <si>
    <t>1.6</t>
  </si>
  <si>
    <t>การพัฒนากระบวนการจัดทำหลักสูตรอบรมโดยอ้างอิงความเสี่ยง (Risk-based training) และติดตามผลการอบรม</t>
  </si>
  <si>
    <t>P_1.7</t>
  </si>
  <si>
    <t>1.7</t>
  </si>
  <si>
    <t>การเชื่อมโยงการปฏิบัติงานด้าน GRC กับสิ่งจูงใจ (Incentive) หรือผลการปฏิบัติงาน (Performance)</t>
  </si>
  <si>
    <t>P_1.8</t>
  </si>
  <si>
    <t>1.8</t>
  </si>
  <si>
    <t>การปรับปรุงนโยบายการกำกับการปฏิบัติตามกฎ ระเบียบและจัดทำนโยบาย IT Third Party Risk Management</t>
  </si>
  <si>
    <t>P_1.9</t>
  </si>
  <si>
    <t>1.9</t>
  </si>
  <si>
    <t>การผลักดันให้มีหน่วยงานกลางกำกับและรวบรวมนโยบาย</t>
  </si>
  <si>
    <t>ดำเนินการ การผลักดันให้มีหน่วย (ถึง มิ.ย.)</t>
  </si>
  <si>
    <t>P_1.10</t>
  </si>
  <si>
    <t>1.10</t>
  </si>
  <si>
    <t>การบูรณาการข้อมูลกระบวนงาน</t>
  </si>
  <si>
    <t>ดำเนินการ การบูรณาการข้อมูลกระ (ถึง มิ.ย.)</t>
  </si>
  <si>
    <t>P_1.11</t>
  </si>
  <si>
    <t>1.11</t>
  </si>
  <si>
    <t>การปรับแนวทางการประเมิน CSA</t>
  </si>
  <si>
    <t>P_1.12</t>
  </si>
  <si>
    <t>1.12</t>
  </si>
  <si>
    <t>การจัดทำแนวทาง/เอกสารในการรวบรวมข้อมูลเหตุการณ์ (Incident information)</t>
  </si>
  <si>
    <t>ดำเนินการ การจัดทำแนวทาง/เอกสา (ถึง มิ.ย.)</t>
  </si>
  <si>
    <t>P_1.13</t>
  </si>
  <si>
    <t>1.13</t>
  </si>
  <si>
    <t>การพัฒนาเครื่องมือติดตามประสิทธิภาพการควบคุมอย่างต่อเนื่อง (Continuous Monitoring)</t>
  </si>
  <si>
    <t>ดำเนินการ การพัฒนาเครื่องมือติ (ถึง มิ.ย.)</t>
  </si>
  <si>
    <t>P_1.14</t>
  </si>
  <si>
    <t>1.14</t>
  </si>
  <si>
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</si>
  <si>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ดำเนินการ การพัฒนาทะเบียนกฎหมา (ถึง มิ.ย.)</t>
  </si>
  <si>
    <t>M_2.1.1</t>
  </si>
  <si>
    <t>2.</t>
  </si>
  <si>
    <t>2.1</t>
  </si>
  <si>
    <t>2.1.1</t>
  </si>
  <si>
    <t>ทบทวนนโยบาย GRC</t>
  </si>
  <si>
    <t>งานบริหารความเสี่ยง / พี่หนึ่ง</t>
  </si>
  <si>
    <t>พี่หนึ่ง</t>
  </si>
  <si>
    <t>M_2.1.2</t>
  </si>
  <si>
    <t>2.1.2</t>
  </si>
  <si>
    <t>ทบทวนโครงสร้างและบทบาทหน้าที่ด้านการบริหารความเสี่ยง</t>
  </si>
  <si>
    <t>ดำเนินการ ทบทวนโครงสร้างและบทบ (ถึง มิ.ย.)</t>
  </si>
  <si>
    <t>M_2.1.3</t>
  </si>
  <si>
    <t>2.1.3</t>
  </si>
  <si>
    <t>ทบทวนกรอบการดำเนินงานและคู่มือการบริหารความเสี่ยง</t>
  </si>
  <si>
    <t>ดำเนินการ ทบทวนกรอบการดำเนินงา (ถึง มิ.ย.)</t>
  </si>
  <si>
    <t>M_2.2.1</t>
  </si>
  <si>
    <t>2.2</t>
  </si>
  <si>
    <t>2.2.1</t>
  </si>
  <si>
    <t>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</si>
  <si>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งานบริหารความเสี่ยง / แบม</t>
  </si>
  <si>
    <t>ดำเนินการ ทบทวน Competency / พ (ถึง มิ.ย.)</t>
  </si>
  <si>
    <t>แบม</t>
  </si>
  <si>
    <t>M_2.2.2</t>
  </si>
  <si>
    <t>2.2.2</t>
  </si>
  <si>
    <t>อบรมและพัฒนาพนักงานตาม Competency ที่กำหนด</t>
  </si>
  <si>
    <t>ดำเนินการ อบรมและพัฒนาพนักงานต (ถึง มิ.ย.)</t>
  </si>
  <si>
    <t>M_2.2.3</t>
  </si>
  <si>
    <t>2.2.3</t>
  </si>
  <si>
    <t>สื่อสารสร้างความตระหนักด้านการบริหารความเสี่ยง</t>
  </si>
  <si>
    <t>ดำเนินการ สื่อสารสร้างความตระห (ถึง มิ.ย.)</t>
  </si>
  <si>
    <t>M_2.2.4</t>
  </si>
  <si>
    <t>2.2.4</t>
  </si>
  <si>
    <t>สำรวจความตระหนักและทัศนคติเกี่ยวกับการบริหารความเสี่ยง</t>
  </si>
  <si>
    <t>M_2.2.5</t>
  </si>
  <si>
    <t>2.2.5</t>
  </si>
  <si>
    <t>ทบทวนการจัดทำการเชื่อมโยง KPI กับผลการดำเนินงานด้านการบริหารความเสี่ยงของแต่ละสายงาน</t>
  </si>
  <si>
    <t>ดำเนินการ ทบทวนการจัดทำการเชื่ (ถึง มิ.ย.)</t>
  </si>
  <si>
    <t>M_2.2.6</t>
  </si>
  <si>
    <t>2.2.6</t>
  </si>
  <si>
    <t>ดำเนินการตามโครงการ MEA GRC Award เพื่อบูรณาการการบริหารความเสี่ยงกับผลตอบแทน/แรงจูงใจ</t>
  </si>
  <si>
    <t>เจ้นท์ / แบม</t>
  </si>
  <si>
    <t>ดำเนินการ ดำเนินการตามโครงการ  (ถึง มิ.ย.)</t>
  </si>
  <si>
    <t>M_2.3.1</t>
  </si>
  <si>
    <t>2.3</t>
  </si>
  <si>
    <t>2.3.1</t>
  </si>
  <si>
    <t>ทบทวนหลักการกำหนด RA/RT และ RA Statement พร้อมสื่อสารให้แก่ผู้มีส่วนได้ส่วนเสีย</t>
  </si>
  <si>
    <t>งานบริหารความเสี่ยง / เป็ด</t>
  </si>
  <si>
    <t>ดำเนินการ ทบทวนหลักการกำหนด RA (ถึง มิ.ย.)</t>
  </si>
  <si>
    <t>ล่าช้ากว่าแผน ติดขั้นตอนอนุมัติ</t>
  </si>
  <si>
    <t>เป็ด</t>
  </si>
  <si>
    <t>M_2.3.2</t>
  </si>
  <si>
    <t>2.3.2</t>
  </si>
  <si>
    <t>ระบุ Emerging Risk เป็นข้อมูลนำเข้าในการวิเคราะห์สภาพแวดล้อม</t>
  </si>
  <si>
    <t>ดำเนินการ ระบุ Emerging Risk เ (ถึง มิ.ย.)</t>
  </si>
  <si>
    <t>M_2.3.3</t>
  </si>
  <si>
    <t>2.3.3</t>
  </si>
  <si>
    <t>ระบุ Intelligent Risk ที่อาจส่งผลต่อบรรลุเป้าหมายในแต่ละตำแหน่งเชิงยุทธศาสตร์ขององค์กร</t>
  </si>
  <si>
    <t>ดำเนินการ ระบุ Intelligent Ris (ถึง มิ.ย.)</t>
  </si>
  <si>
    <t>M_2.3.4</t>
  </si>
  <si>
    <t>2.3.4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</si>
  <si>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</si>
  <si>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</si>
  <si>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M_2.3.5</t>
  </si>
  <si>
    <t>2.3.5</t>
  </si>
  <si>
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</si>
  <si>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ดำเนินการ ทบทวนแบบฟอร์มและเกณฑ (ถึง มิ.ย.)</t>
  </si>
  <si>
    <t>M_2.3.6</t>
  </si>
  <si>
    <t>2.3.6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</si>
  <si>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</si>
  <si>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</si>
  <si>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M_2.3.7</t>
  </si>
  <si>
    <t>2.3.7</t>
  </si>
  <si>
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</si>
  <si>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ดำเนินการ ติดตามการวิเคราะห์ ร (ถึง มิ.ย.)</t>
  </si>
  <si>
    <t>M_2.4.1</t>
  </si>
  <si>
    <t>2.4</t>
  </si>
  <si>
    <t>2.4.1</t>
  </si>
  <si>
    <t>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</si>
  <si>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งานบริหารความเสี่ยง</t>
  </si>
  <si>
    <t>ดำเนินการ รวบรวม/วิเคราะห์ข้อม (ถึง มิ.ย.)</t>
  </si>
  <si>
    <t>M_2.4.2</t>
  </si>
  <si>
    <t>2.4.2</t>
  </si>
  <si>
    <t>คัดเลือกปัจจัยเสี่ยงระดับองค์กร พร้อมวิเคราะห์ Leading / Lagging Indicator ของแต่ละความเสี่ยง</t>
  </si>
  <si>
    <t>ดำเนินการ คัดเลือกปัจจัยเสี่ยง (ถึง มิ.ย.)</t>
  </si>
  <si>
    <t>M_2.4.3</t>
  </si>
  <si>
    <t>2.4.3</t>
  </si>
  <si>
    <t>จัดให้มีการประเมินความเสี่ยง และสื่อสารความเสี่ยงต่อผู้รับผิดชอบ</t>
  </si>
  <si>
    <t>M_2.4.4</t>
  </si>
  <si>
    <t>2.4.4</t>
  </si>
  <si>
    <t>พิจารณาและคัดเลือกวิธีการจัดการความเสี่ยง พร้อมทั้ง วิเคราะห์และจัดทำ Risk Correlation Map/Portfolio View of Risk</t>
  </si>
  <si>
    <t>M_2.4.5</t>
  </si>
  <si>
    <t>2.4.5</t>
  </si>
  <si>
    <t>จัดทำแผนบริหารความเสี่ยง และทบทวนแผนบริหารความเสี่ยงของปีถัดไป</t>
  </si>
  <si>
    <t>M_2.4.6</t>
  </si>
  <si>
    <t>2.4.6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</si>
  <si>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</si>
  <si>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</si>
  <si>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M_2.4.7</t>
  </si>
  <si>
    <t>2.4.7</t>
  </si>
  <si>
    <t>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</si>
  <si>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ดำเนินการ พัฒนาระบบเทคโนโลยีดิ (ถึง มิ.ย.)</t>
  </si>
  <si>
    <t>M_2.4.8</t>
  </si>
  <si>
    <t>2.4.8</t>
  </si>
  <si>
    <t>ทบทวน ประเมินประสิทธิผล และปรับปรุงกระบวนการบริหารความเสี่ยง</t>
  </si>
  <si>
    <t>M_2.5.1</t>
  </si>
  <si>
    <t>2.5</t>
  </si>
  <si>
    <t>2.5.1</t>
  </si>
  <si>
    <t>วิเคราะห์ผลกระทบทางธุรกิจ ประเมินความเสี่ยง ทบทวนกลยุทธ์ และ BCP</t>
  </si>
  <si>
    <t>ดำเนินการ วิเคราะห์ผลกระทบทางธ (ถึง มิ.ย.)</t>
  </si>
  <si>
    <t>M_2.5.2</t>
  </si>
  <si>
    <t>2.5.2</t>
  </si>
  <si>
    <t>ติดตามและเข้าร่วมฝึกซ้อม BCP ของหน่วยงาน</t>
  </si>
  <si>
    <t>ดำเนินการ ติดตามและเข้าร่วมฝึก (ถึง มิ.ย.)</t>
  </si>
  <si>
    <t>M_2.5.3</t>
  </si>
  <si>
    <t>2.5.3</t>
  </si>
  <si>
    <t>ฝึกซ้อมสถานการณ์ใหญ่</t>
  </si>
  <si>
    <t>ดำเนินการ ฝึกซ้อมสถานการณ์ใหญ่ (ถึง มิ.ย.)</t>
  </si>
  <si>
    <t>M_2.5.4</t>
  </si>
  <si>
    <t>2.5.4</t>
  </si>
  <si>
    <t>สร้างความตระหนักและสื่อสารข้อมูลเกี่ยวกับการบริหารความต่อเนื่องทางธุรกิจ</t>
  </si>
  <si>
    <t>ดำเนินการ สร้างความตระหนักและส (ถึง มิ.ย.)</t>
  </si>
  <si>
    <t>M_2.5.5</t>
  </si>
  <si>
    <t>2.5.5</t>
  </si>
  <si>
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</si>
  <si>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P_3.1</t>
  </si>
  <si>
    <t>3.</t>
  </si>
  <si>
    <t>3.1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</si>
  <si>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</si>
  <si>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ดำเนินการ ปรับปรุงฐานข้อมูลที่ (ถึง มิ.ย.)</t>
  </si>
  <si>
    <t>P_3.2</t>
  </si>
  <si>
    <t>3.2</t>
  </si>
  <si>
    <t>ใช้งานระบบ GRC เพื่อสนับสนุนการทำงานให้ลดความซับซ้อน ลดระยะเวลา และมีความถูกต้องแม่นยำ</t>
  </si>
  <si>
    <t>ดำเนินการ ใช้งานระบบ GRC เพื่อ (ถึง มิ.ย.)</t>
  </si>
  <si>
    <t>P_3.3</t>
  </si>
  <si>
    <t>3.3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</si>
  <si>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</si>
  <si>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ดำเนินการ ทบทวนการทำ Value Cre (ถึง มิ.ย.)</t>
  </si>
  <si>
    <t>P_3.4</t>
  </si>
  <si>
    <t>3.4</t>
  </si>
  <si>
    <t>กำหนดกระบวนการในการวิเคราะห์ถึงภาพรวมของความเสี่ยง (Portfolio View of Risk)</t>
  </si>
  <si>
    <t>ดำเนินการ กำหนดกระบวนการในการว (ถึง มิ.ย.)</t>
  </si>
  <si>
    <t>P_3.5</t>
  </si>
  <si>
    <t>3.5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</si>
  <si>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</si>
  <si>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</si>
  <si>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</si>
  <si>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</si>
  <si>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 1 ข้อ (48 แถว) (คอลัมน์ 1-6 และ "ถ่วงน้ำหนัก(%)" เติมให้แล้ว ห้ามแก้รหัส/น้ำหนัก)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</si>
  <si>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</si>
  <si>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</si>
  <si>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</si>
  <si>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</si>
  <si>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</si>
  <si>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</si>
  <si>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</si>
  <si>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</si>
  <si>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</si>
  <si>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</si>
  <si>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</si>
  <si>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</si>
  <si>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</si>
  <si>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เป้าหมายทุกระดับใน Dashboard (48 กิจกรรม, 3 กล่องแผนหลัก, กราฟ S-Curve/แท่ง) อ้างอิงจากคอลัมน์ "เป้า" ในไฟล์นี้ทั้งหมด</t>
  </si>
  <si>
    <t>ตัวเลขเป้าหมายระดับแผนหลักคือค่าเฉลี่ยถ่วงน้ำหนัก (ตามคอลัมน์ "ถ่วงน้ำหนัก(%)") ของกิจกรรมในแผนนั้น — ดูสูตรจริงได้ที่ชีต "สรุปเป้าหมายตามแผน"</t>
  </si>
  <si>
    <t>ชีต "สรุปเป้าหมายตามแผน" คำนวณสดด้วยสูตร SUMPRODUCT จากคอลัมน์เป้า+น้ำหนัก แก้เป้าหมายกิจกรรมใดก็ตาม ตัวเลขแผนหลักในชีตนี้จะขยับให้อัตโนมัติ (ตรงกับที่ Dashboard จะแสดง)</t>
  </si>
  <si>
    <t>สถานะงานคำนวณจากผลจริง: 100=เสร็จสิ้น · 1-99=อยู่ระหว่างดำเนินการ · 0/ว่าง=ยังไม่ดำเนินการ</t>
  </si>
  <si>
    <t>ชื่อกิจกรรม/มาตรการ</t>
  </si>
  <si>
    <t>สรุป ม.ค.</t>
  </si>
  <si>
    <t>สรุป ก.พ.</t>
  </si>
  <si>
    <t>สรุป มี.ค.</t>
  </si>
  <si>
    <t>สรุป เม.ย.</t>
  </si>
  <si>
    <t>สรุป พ.ค.</t>
  </si>
  <si>
    <t>สรุป มิ.ย.</t>
  </si>
  <si>
    <t>สรุป ก.ค.</t>
  </si>
  <si>
    <t>สรุป ส.ค.</t>
  </si>
  <si>
    <t>สรุป ก.ย.</t>
  </si>
  <si>
    <t>สรุป ต.ค.</t>
  </si>
  <si>
    <t>สรุป พ.ย.</t>
  </si>
  <si>
    <t>สรุป ธ.ค.</t>
  </si>
  <si>
    <t>ดำเนินการ การปรับปรุงโครงสร้างการดำเนินง ตามแผนในเดือนม.ค.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</si>
  <si>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ตามแผนในเดือนก.พ.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</si>
  <si>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ตามแผนในเดือนมี.ค.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</si>
  <si>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ตามแผนในเดือนเม.ย.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</si>
  <si>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ตามแผนในเดือนพ.ค.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</si>
  <si>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ตามแผนในเดือนมิ.ย.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</si>
  <si>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</si>
  <si>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ตามแผนในเดือนก.พ.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</si>
  <si>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ตามแผนในเดือนมี.ค.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</si>
  <si>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ตามแผนในเดือนเม.ย.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</si>
  <si>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ตามแผนในเดือนพ.ค.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</si>
  <si>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ตามแผนในเดือนมิ.ย. (สรุปย่อ — แก้เป็นเนื้อหาจริงได้)</t>
  </si>
  <si>
    <t>ดำเนินการ การจัดทำ Risk Taxonomy เพื่อคว ตามแผนในเดือนม.ค. (สรุปย่อ — แก้เป็นเนื้อหาจริงได้)</t>
  </si>
  <si>
    <t>ดำเนินการ การจัดทำ Risk Taxonomy เพื่อคว ตามแผนในเดือนก.พ. (สรุปย่อ — แก้เป็นเนื้อหาจริงได้)</t>
  </si>
  <si>
    <t>ดำเนินการ การจัดทำ Risk Taxonomy เพื่อคว ตามแผนในเดือนมี.ค. (สรุปย่อ — แก้เป็นเนื้อหาจริงได้)</t>
  </si>
  <si>
    <t>ดำเนินการ การจัดทำ Risk Taxonomy เพื่อคว ตามแผนในเดือนเม.ย. (สรุปย่อ — แก้เป็นเนื้อหาจริงได้)</t>
  </si>
  <si>
    <t>ดำเนินการ การจัดทำ Risk Taxonomy เพื่อคว ตามแผนในเดือนพ.ค. (สรุปย่อ — แก้เป็นเนื้อหาจริงได้)</t>
  </si>
  <si>
    <t>ดำเนินการ การจัดทำ Risk Taxonomy เพื่อคว ตามแผนในเดือนมิ.ย.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</si>
  <si>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ตามแผนในเดือนเม.ย.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</si>
  <si>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ตามแผนในเดือนพ.ค.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</si>
  <si>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ตามแผนในเดือนมิ.ย.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</si>
  <si>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</si>
  <si>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ตามแผนในเดือนก.พ.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</si>
  <si>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ตามแผนในเดือนมี.ค.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</si>
  <si>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ตามแผนในเดือนเม.ย.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</si>
  <si>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ตามแผนในเดือนพ.ค.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</si>
  <si>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ตามแผนในเดือนมิ.ย. (สรุปย่อ — แก้เป็นเนื้อหาจริงได้)</t>
  </si>
  <si>
    <t>ดำเนินการ การบูรณาการข้อมูลกระบวนงาน ตามแผนในเดือนเม.ย. (สรุปย่อ — แก้เป็นเนื้อหาจริงได้)</t>
  </si>
  <si>
    <t>ดำเนินการ การบูรณาการข้อมูลกระบวนงาน ตามแผนในเดือนพ.ค. (สรุปย่อ — แก้เป็นเนื้อหาจริงได้)</t>
  </si>
  <si>
    <t>ดำเนินการ การบูรณาการข้อมูลกระบวนงาน ตามแผนในเดือนมิ.ย.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</si>
  <si>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ตามแผนในเดือนม.ค.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</si>
  <si>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ตามแผนในเดือนก.พ.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</si>
  <si>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ตามแผนในเดือนมี.ค.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</si>
  <si>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ตามแผนในเดือนเม.ย.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</si>
  <si>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ตามแผนในเดือนพ.ค.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</si>
  <si>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ตามแผนในเดือนมิ.ย.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</si>
  <si>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</si>
  <si>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ตามแผนในเดือนก.พ.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</si>
  <si>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ตามแผนในเดือนมี.ค.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</si>
  <si>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ตามแผนในเดือนเม.ย.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</si>
  <si>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ตามแผนในเดือนพ.ค.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</si>
  <si>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ตามแผนในเดือนมิ.ย.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</si>
  <si>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ตามแผนในเดือนม.ค.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</si>
  <si>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ตามแผนในเดือนก.พ.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</si>
  <si>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ตามแผนในเดือนมี.ค.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</si>
  <si>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ตามแผนในเดือนเม.ย.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</si>
  <si>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ตามแผนในเดือนพ.ค.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</si>
  <si>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ตามแผนในเดือนมิ.ย.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</si>
  <si>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ตามแผนในเดือนพ.ค.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</si>
  <si>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ตามแผนในเดือนมิ.ย. (สรุปย่อ — แก้เป็นเนื้อหาจริงได้)</t>
  </si>
  <si>
    <t>ดำเนินการ ทบทวนกรอบการดำเนินงานและคู่มือ ตามแผนในเดือนมิ.ย. (สรุปย่อ — แก้เป็นเนื้อหาจริงได้)</t>
  </si>
  <si>
    <t>ดำเนินการ ทบทวน Competency / พฤติกรรมพึง ตามแผนในเดือนม.ค. (สรุปย่อ — แก้เป็นเนื้อหาจริงได้)</t>
  </si>
  <si>
    <t>ดำเนินการ ทบทวน Competency / พฤติกรรมพึง ตามแผนในเดือนก.พ. (สรุปย่อ — แก้เป็นเนื้อหาจริงได้)</t>
  </si>
  <si>
    <t>ดำเนินการ ทบทวน Competency / พฤติกรรมพึง ตามแผนในเดือนมี.ค. (สรุปย่อ — แก้เป็นเนื้อหาจริงได้)</t>
  </si>
  <si>
    <t>ดำเนินการ ทบทวน Competency / พฤติกรรมพึง ตามแผนในเดือนเม.ย. (สรุปย่อ — แก้เป็นเนื้อหาจริงได้)</t>
  </si>
  <si>
    <t>ดำเนินการ ทบทวน Competency / พฤติกรรมพึง ตามแผนในเดือนพ.ค. (สรุปย่อ — แก้เป็นเนื้อหาจริงได้)</t>
  </si>
  <si>
    <t>ดำเนินการ ทบทวน Competency / พฤติกรรมพึง ตามแผนในเดือนมิ.ย. (สรุปย่อ — แก้เป็นเนื้อหาจริงได้)</t>
  </si>
  <si>
    <t>ดำเนินการ อบรมและพัฒนาพนักงานตาม Compete ตามแผนในเดือนม.ค. (สรุปย่อ — แก้เป็นเนื้อหาจริงได้)</t>
  </si>
  <si>
    <t>ดำเนินการ อบรมและพัฒนาพนักงานตาม Compete ตามแผนในเดือนก.พ. (สรุปย่อ — แก้เป็นเนื้อหาจริงได้)</t>
  </si>
  <si>
    <t>ดำเนินการ อบรมและพัฒนาพนักงานตาม Compete ตามแผนในเดือนมี.ค. (สรุปย่อ — แก้เป็นเนื้อหาจริงได้)</t>
  </si>
  <si>
    <t>ดำเนินการ อบรมและพัฒนาพนักงานตาม Compete ตามแผนในเดือนเม.ย. (สรุปย่อ — แก้เป็นเนื้อหาจริงได้)</t>
  </si>
  <si>
    <t>ดำเนินการ อบรมและพัฒนาพนักงานตาม Compete ตามแผนในเดือนพ.ค. (สรุปย่อ — แก้เป็นเนื้อหาจริงได้)</t>
  </si>
  <si>
    <t>ดำเนินการ อบรมและพัฒนาพนักงานตาม Compete ตามแผนในเดือนมิ.ย.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</si>
  <si>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</si>
  <si>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ตามแผนในเดือนก.พ.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</si>
  <si>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ตามแผนในเดือนมี.ค.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</si>
  <si>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ตามแผนในเดือนเม.ย.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</si>
  <si>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ตามแผนในเดือนพ.ค.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</si>
  <si>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ตามแผนในเดือนมิ.ย. (สรุปย่อ — แก้เป็นเนื้อหาจริงได้)</t>
  </si>
  <si>
    <t>ดำเนินการ ทบทวนการจัดทำการเชื่อมโยง KPI  ตามแผนในเดือนม.ค. (สรุปย่อ — แก้เป็นเนื้อหาจริงได้)</t>
  </si>
  <si>
    <t>ดำเนินการ ทบทวนการจัดทำการเชื่อมโยง KPI  ตามแผนในเดือนก.พ. (สรุปย่อ — แก้เป็นเนื้อหาจริงได้)</t>
  </si>
  <si>
    <t>ดำเนินการ ทบทวนการจัดทำการเชื่อมโยง KPI  ตามแผนในเดือนมี.ค. (สรุปย่อ — แก้เป็นเนื้อหาจริงได้)</t>
  </si>
  <si>
    <t>ดำเนินการ ทบทวนการจัดทำการเชื่อมโยง KPI  ตามแผนในเดือนเม.ย. (สรุปย่อ — แก้เป็นเนื้อหาจริงได้)</t>
  </si>
  <si>
    <t>ดำเนินการ ทบทวนการจัดทำการเชื่อมโยง KPI  ตามแผนในเดือนพ.ค. (สรุปย่อ — แก้เป็นเนื้อหาจริงได้)</t>
  </si>
  <si>
    <t>ดำเนินการ ทบทวนการจัดทำการเชื่อมโยง KPI  ตามแผนในเดือนมิ.ย. (สรุปย่อ — แก้เป็นเนื้อหาจริงได้)</t>
  </si>
  <si>
    <t>ดำเนินการ ดำเนินการตามโครงการ MEA GRC Aw ตามแผนในเดือนม.ค. (สรุปย่อ — แก้เป็นเนื้อหาจริงได้)</t>
  </si>
  <si>
    <t>ดำเนินการ ดำเนินการตามโครงการ MEA GRC Aw ตามแผนในเดือนก.พ. (สรุปย่อ — แก้เป็นเนื้อหาจริงได้)</t>
  </si>
  <si>
    <t>ดำเนินการ ดำเนินการตามโครงการ MEA GRC Aw ตามแผนในเดือนมี.ค. (สรุปย่อ — แก้เป็นเนื้อหาจริงได้)</t>
  </si>
  <si>
    <t>ดำเนินการ ดำเนินการตามโครงการ MEA GRC Aw ตามแผนในเดือนเม.ย. (สรุปย่อ — แก้เป็นเนื้อหาจริงได้)</t>
  </si>
  <si>
    <t>ดำเนินการ ดำเนินการตามโครงการ MEA GRC Aw ตามแผนในเดือนพ.ค. (สรุปย่อ — แก้เป็นเนื้อหาจริงได้)</t>
  </si>
  <si>
    <t>ดำเนินการ ดำเนินการตามโครงการ MEA GRC Aw ตามแผนในเดือนมิ.ย. (สรุปย่อ — แก้เป็นเนื้อหาจริงได้)</t>
  </si>
  <si>
    <t>ดำเนินการ ทบทวนหลักการกำหนด RA/RT และ RA ตามแผนในเดือนม.ค. (สรุปย่อ — แก้เป็นเนื้อหาจริงได้)</t>
  </si>
  <si>
    <t>ดำเนินการ ทบทวนหลักการกำหนด RA/RT และ RA ตามแผนในเดือนก.พ. (สรุปย่อ — แก้เป็นเนื้อหาจริงได้)</t>
  </si>
  <si>
    <t>ดำเนินการ ทบทวนหลักการกำหนด RA/RT และ RA ตามแผนในเดือนมี.ค. (สรุปย่อ — แก้เป็นเนื้อหาจริงได้)</t>
  </si>
  <si>
    <t>ดำเนินการ ทบทวนหลักการกำหนด RA/RT และ RA ตามแผนในเดือนเม.ย. (สรุปย่อ — แก้เป็นเนื้อหาจริงได้)</t>
  </si>
  <si>
    <t>ดำเนินการ ทบทวนหลักการกำหนด RA/RT และ RA ตามแผนในเดือนพ.ค. (สรุปย่อ — แก้เป็นเนื้อหาจริงได้)</t>
  </si>
  <si>
    <t>ดำเนินการ ทบทวนหลักการกำหนด RA/RT และ RA ตามแผนในเดือนมิ.ย. (สรุปย่อ — แก้เป็นเนื้อหาจริงได้)</t>
  </si>
  <si>
    <t>ดำเนินการ ระบุ Emerging Risk เป็นข้อมูลน ตามแผนในเดือนม.ค. (สรุปย่อ — แก้เป็นเนื้อหาจริงได้)</t>
  </si>
  <si>
    <t>ดำเนินการ ระบุ Emerging Risk เป็นข้อมูลน ตามแผนในเดือนก.พ. (สรุปย่อ — แก้เป็นเนื้อหาจริงได้)</t>
  </si>
  <si>
    <t>ดำเนินการ ระบุ Emerging Risk เป็นข้อมูลน ตามแผนในเดือนมี.ค. (สรุปย่อ — แก้เป็นเนื้อหาจริงได้)</t>
  </si>
  <si>
    <t>ดำเนินการ ระบุ Emerging Risk เป็นข้อมูลน ตามแผนในเดือนเม.ย. (สรุปย่อ — แก้เป็นเนื้อหาจริงได้)</t>
  </si>
  <si>
    <t>ดำเนินการ ระบุ Emerging Risk เป็นข้อมูลน ตามแผนในเดือนพ.ค. (สรุปย่อ — แก้เป็นเนื้อหาจริงได้)</t>
  </si>
  <si>
    <t>ดำเนินการ ระบุ Emerging Risk เป็นข้อมูลน ตามแผนในเดือนมิ.ย. (สรุปย่อ — แก้เป็นเนื้อหาจริงได้)</t>
  </si>
  <si>
    <t>ดำเนินการ ระบุ Intelligent Risk ที่อาจส่ ตามแผนในเดือนเม.ย. (สรุปย่อ — แก้เป็นเนื้อหาจริงได้)</t>
  </si>
  <si>
    <t>ดำเนินการ ระบุ Intelligent Risk ที่อาจส่ ตามแผนในเดือนพ.ค. (สรุปย่อ — แก้เป็นเนื้อหาจริงได้)</t>
  </si>
  <si>
    <t>ดำเนินการ ระบุ Intelligent Risk ที่อาจส่ ตามแผนในเดือนมิ.ย.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</si>
  <si>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ตามแผนในเดือนเม.ย.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</si>
  <si>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ตามแผนในเดือนพ.ค.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</si>
  <si>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ตามแผนในเดือนมิ.ย.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</si>
  <si>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ตามแผนในเดือนพ.ค.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</si>
  <si>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ตามแผนในเดือนมิ.ย. (สรุปย่อ — แก้เป็นเนื้อหาจริงได้)</t>
  </si>
  <si>
    <t>ดำเนินการ สื่อสารแบบฟอร์มการประเมินความเ ตามแผนในเดือนมิ.ย. (สรุปย่อ — แก้เป็นเนื้อหาจริงได้)</t>
  </si>
  <si>
    <t>ดำเนินการ ติดตามการวิเคราะห์ ระบุ และประ ตามแผนในเดือนมิ.ย.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</si>
  <si>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ตามแผนในเดือนม.ค.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</si>
  <si>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ตามแผนในเดือนก.พ.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</si>
  <si>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ตามแผนในเดือนมี.ค.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</si>
  <si>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ตามแผนในเดือนเม.ย.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</si>
  <si>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ตามแผนในเดือนพ.ค.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</si>
  <si>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ตามแผนในเดือนมิ.ย. (สรุปย่อ — แก้เป็นเนื้อหาจริงได้)</t>
  </si>
  <si>
    <t>ดำเนินการ คัดเลือกปัจจัยเสี่ยงระดับองค์ก ตามแผนในเดือนมิ.ย.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</si>
  <si>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</si>
  <si>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ตามแผนในเดือนก.พ.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</si>
  <si>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ตามแผนในเดือนมี.ค.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</si>
  <si>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ตามแผนในเดือนเม.ย.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</si>
  <si>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ตามแผนในเดือนพ.ค.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</si>
  <si>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ตามแผนในเดือนมิ.ย.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</si>
  <si>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</si>
  <si>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ตามแผนในเดือนก.พ.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</si>
  <si>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ตามแผนในเดือนมี.ค.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</si>
  <si>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ตามแผนในเดือนเม.ย.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</si>
  <si>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ตามแผนในเดือนพ.ค.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</si>
  <si>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ตามแผนในเดือนมิ.ย.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</si>
  <si>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ตามแผนในเดือนม.ค.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</si>
  <si>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ตามแผนในเดือนก.พ.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</si>
  <si>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ตามแผนในเดือนมี.ค.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</si>
  <si>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ตามแผนในเดือนเม.ย.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</si>
  <si>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ตามแผนในเดือนพ.ค.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</si>
  <si>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ตามแผนในเดือนมิ.ย. (สรุปย่อ — แก้เป็นเนื้อหาจริงได้)</t>
  </si>
  <si>
    <t>ดำเนินการ ติดตามและเข้าร่วมฝึกซ้อม BCP ข ตามแผนในเดือนมี.ค. (สรุปย่อ — แก้เป็นเนื้อหาจริงได้)</t>
  </si>
  <si>
    <t>ดำเนินการ ติดตามและเข้าร่วมฝึกซ้อม BCP ข ตามแผนในเดือนเม.ย. (สรุปย่อ — แก้เป็นเนื้อหาจริงได้)</t>
  </si>
  <si>
    <t>ดำเนินการ ติดตามและเข้าร่วมฝึกซ้อม BCP ข ตามแผนในเดือนพ.ค. (สรุปย่อ — แก้เป็นเนื้อหาจริงได้)</t>
  </si>
  <si>
    <t>ดำเนินการ ติดตามและเข้าร่วมฝึกซ้อม BCP ข ตามแผนในเดือนมิ.ย. (สรุปย่อ — แก้เป็นเนื้อหาจริงได้)</t>
  </si>
  <si>
    <t>ดำเนินการ ฝึกซ้อมสถานการณ์ใหญ่ ตามแผนในเดือนมี.ค. (สรุปย่อ — แก้เป็นเนื้อหาจริงได้)</t>
  </si>
  <si>
    <t>ดำเนินการ ฝึกซ้อมสถานการณ์ใหญ่ ตามแผนในเดือนเม.ย. (สรุปย่อ — แก้เป็นเนื้อหาจริงได้)</t>
  </si>
  <si>
    <t>ดำเนินการ ฝึกซ้อมสถานการณ์ใหญ่ ตามแผนในเดือนพ.ค. (สรุปย่อ — แก้เป็นเนื้อหาจริงได้)</t>
  </si>
  <si>
    <t>ดำเนินการ ฝึกซ้อมสถานการณ์ใหญ่ ตามแผนในเดือนมิ.ย.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</si>
  <si>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</si>
  <si>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ตามแผนในเดือนก.พ.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</si>
  <si>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ตามแผนในเดือนมี.ค.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</si>
  <si>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ตามแผนในเดือนเม.ย.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</si>
  <si>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ตามแผนในเดือนพ.ค.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</si>
  <si>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ตามแผนในเดือนมิ.ย.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</si>
  <si>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</si>
  <si>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ตามแผนในเดือนก.พ.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</si>
  <si>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ตามแผนในเดือนมี.ค.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</si>
  <si>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ตามแผนในเดือนเม.ย.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</si>
  <si>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ตามแผนในเดือนพ.ค.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</si>
  <si>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ตามแผนในเดือนมิ.ย. (สรุปย่อ — แก้เป็นเนื้อหาจริงได้)</t>
  </si>
  <si>
    <t>ดำเนินการ ใช้งานระบบ GRC เพื่อสนับสนุนกา ตามแผนในเดือนม.ค. (สรุปย่อ — แก้เป็นเนื้อหาจริงได้)</t>
  </si>
  <si>
    <t>ดำเนินการ ใช้งานระบบ GRC เพื่อสนับสนุนกา ตามแผนในเดือนก.พ. (สรุปย่อ — แก้เป็นเนื้อหาจริงได้)</t>
  </si>
  <si>
    <t>ดำเนินการ ใช้งานระบบ GRC เพื่อสนับสนุนกา ตามแผนในเดือนมี.ค. (สรุปย่อ — แก้เป็นเนื้อหาจริงได้)</t>
  </si>
  <si>
    <t>ดำเนินการ ใช้งานระบบ GRC เพื่อสนับสนุนกา ตามแผนในเดือนเม.ย. (สรุปย่อ — แก้เป็นเนื้อหาจริงได้)</t>
  </si>
  <si>
    <t>ดำเนินการ ใช้งานระบบ GRC เพื่อสนับสนุนกา ตามแผนในเดือนพ.ค. (สรุปย่อ — แก้เป็นเนื้อหาจริงได้)</t>
  </si>
  <si>
    <t>ดำเนินการ ใช้งานระบบ GRC เพื่อสนับสนุนกา ตามแผนในเดือนมิ.ย. (สรุปย่อ — แก้เป็นเนื้อหาจริงได้)</t>
  </si>
  <si>
    <t>ดำเนินการ ทบทวนการทำ Value Creation และ  ตามแผนในเดือนม.ค. (สรุปย่อ — แก้เป็นเนื้อหาจริงได้)</t>
  </si>
  <si>
    <t>ดำเนินการ ทบทวนการทำ Value Creation และ  ตามแผนในเดือนก.พ. (สรุปย่อ — แก้เป็นเนื้อหาจริงได้)</t>
  </si>
  <si>
    <t>ดำเนินการ ทบทวนการทำ Value Creation และ  ตามแผนในเดือนมี.ค. (สรุปย่อ — แก้เป็นเนื้อหาจริงได้)</t>
  </si>
  <si>
    <t>ดำเนินการ ทบทวนการทำ Value Creation และ  ตามแผนในเดือนเม.ย. (สรุปย่อ — แก้เป็นเนื้อหาจริงได้)</t>
  </si>
  <si>
    <t>ดำเนินการ ทบทวนการทำ Value Creation และ  ตามแผนในเดือนพ.ค. (สรุปย่อ — แก้เป็นเนื้อหาจริงได้)</t>
  </si>
  <si>
    <t>ดำเนินการ ทบทวนการทำ Value Creation และ  ตามแผนในเดือนมิ.ย.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</si>
  <si>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</si>
  <si>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ตามแผนในเดือนก.พ.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</si>
  <si>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ตามแผนในเดือนมี.ค.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</si>
  <si>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ตามแผนในเดือนเม.ย.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</si>
  <si>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ตามแผนในเดือนพ.ค.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</si>
  <si>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ตามแผนในเดือนมิ.ย. (สรุปย่อ — แก้เป็นเนื้อหาจริงได้)</t>
  </si>
  <si>
    <t>ดำเนินการ พัฒนา Portfolio View of Risk แ ตามแผนในเดือนม.ค. (สรุปย่อ — แก้เป็นเนื้อหาจริงได้)</t>
  </si>
  <si>
    <t>ดำเนินการ พัฒนา Portfolio View of Risk แ ตามแผนในเดือนก.พ. (สรุปย่อ — แก้เป็นเนื้อหาจริงได้)</t>
  </si>
  <si>
    <t>ดำเนินการ พัฒนา Portfolio View of Risk แ ตามแผนในเดือนมี.ค. (สรุปย่อ — แก้เป็นเนื้อหาจริงได้)</t>
  </si>
  <si>
    <t>ดำเนินการ พัฒนา Portfolio View of Risk แ ตามแผนในเดือนเม.ย. (สรุปย่อ — แก้เป็นเนื้อหาจริงได้)</t>
  </si>
  <si>
    <t>ดำเนินการ พัฒนา Portfolio View of Risk แ ตามแผนในเดือนพ.ค. (สรุปย่อ — แก้เป็นเนื้อหาจริงได้)</t>
  </si>
  <si>
    <t>ดำเนินการ พัฒนา Portfolio View of Risk แ ตามแผนในเดือนมิ.ย. (สรุปย่อ — แก้เป็นเนื้อหาจริงได้)</t>
  </si>
  <si>
    <t>เดือน</t>
  </si>
  <si>
    <t>รายงานภาพรวมประจำเดือน</t>
  </si>
  <si>
    <t>ม.ค.</t>
  </si>
  <si>
    <t>ภาพรวมการดำเนินงานตามแผนบริหารความเสี่ยงประจำเดือนม.ค. — (แก้เป็นเนื้อหาสรุปจริง)</t>
  </si>
  <si>
    <t>ก.พ.</t>
  </si>
  <si>
    <t>ภาพรวมการดำเนินงานตามแผนบริหารความเสี่ยงประจำเดือนก.พ. — (แก้เป็นเนื้อหาสรุปจริง)</t>
  </si>
  <si>
    <t>มี.ค.</t>
  </si>
  <si>
    <t>ภาพรวมการดำเนินงานตามแผนบริหารความเสี่ยงประจำเดือนมี.ค. — (แก้เป็นเนื้อหาสรุปจริง)</t>
  </si>
  <si>
    <t>เม.ย.</t>
  </si>
  <si>
    <t>ภาพรวมการดำเนินงานตามแผนบริหารความเสี่ยงประจำเดือนเม.ย. — (แก้เป็นเนื้อหาสรุปจริง)</t>
  </si>
  <si>
    <t>พ.ค.</t>
  </si>
  <si>
    <t>ภาพรวมการดำเนินงานตามแผนบริหารความเสี่ยงประจำเดือนพ.ค. — (แก้เป็นเนื้อหาสรุปจริง)</t>
  </si>
  <si>
    <t>มิ.ย.</t>
  </si>
  <si>
    <t>ภาพรวมการดำเนินงานตามแผนบริหารความเสี่ยงประจำเดือนมิ.ย. — (แก้เป็นเนื้อหาสรุปจริง)</t>
  </si>
  <si>
    <t>ก.ค.</t>
  </si>
  <si>
    <t>ส.ค.</t>
  </si>
  <si>
    <t>ก.ย.</t>
  </si>
  <si>
    <t>ต.ค.</t>
  </si>
  <si>
    <t>พ.ย.</t>
  </si>
  <si>
    <t>ธ.ค.</t>
  </si>
  <si>
    <t>รหัสแผน</t>
  </si>
  <si>
    <t>1. แผนปรับปรุงการบูรณาการการกำกับดูแลกิจการที่ดี การบริหารความเสี่ยง และการปฏิบัติตามกฎ ระเบียบ (GRC)</t>
  </si>
  <si>
    <t>2. แผนปฏิบัติการบริหารความเสี่ยง และการบริหารความต่อเนื่องทางธุรกิจ</t>
  </si>
  <si>
    <t>3. แผนปรับปรุงองค์กรด้าน RM &amp; IC ปี 2569</t>
  </si>
  <si>
    <t>รวมทั้งหมด (ถ่วงน้ำหนักทุกกิจกรรม)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</si>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</sst>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  <font>
      <sz val="14"/>
      <color theme="1"/>
      <name val="TH SarabunPSK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  <xf numFmtId="164" fontId="0" fillId="6" borderId="1" xfId="0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2" fontId="3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5"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H49" dataDxfId="0">
  <autoFilter ref="A1:AH49" xr:uid="{00000000-0009-0000-0100-000001000000}"/>
  <tableColumns count="34">
    <tableColumn id="1" xr3:uid="{00000000-0010-0000-0000-000001000000}" name="รหัสกิจกรรม" dataDxfId="34"/>
    <tableColumn id="2" xr3:uid="{00000000-0010-0000-0000-000002000000}" name="แผนหลัก" dataDxfId="33"/>
    <tableColumn id="3" xr3:uid="{00000000-0010-0000-0000-000003000000}" name="แผนงานย่อย" dataDxfId="32"/>
    <tableColumn id="4" xr3:uid="{00000000-0010-0000-0000-000004000000}" name="รหัส" dataDxfId="31"/>
    <tableColumn id="5" xr3:uid="{00000000-0010-0000-0000-000005000000}" name="ชื่อกิจกรรม" dataDxfId="30"/>
    <tableColumn id="6" xr3:uid="{00000000-0010-0000-0000-000006000000}" name="ผู้รับผิดชอบ" dataDxfId="29"/>
    <tableColumn id="7" xr3:uid="{00000000-0010-0000-0000-000007000000}" name="เป้า ม.ค." dataDxfId="28"/>
    <tableColumn id="8" xr3:uid="{00000000-0010-0000-0000-000008000000}" name="เป้า ก.พ." dataDxfId="27"/>
    <tableColumn id="9" xr3:uid="{00000000-0010-0000-0000-000009000000}" name="เป้า มี.ค." dataDxfId="26"/>
    <tableColumn id="10" xr3:uid="{00000000-0010-0000-0000-00000A000000}" name="เป้า เม.ย." dataDxfId="25"/>
    <tableColumn id="11" xr3:uid="{00000000-0010-0000-0000-00000B000000}" name="เป้า พ.ค." dataDxfId="24"/>
    <tableColumn id="12" xr3:uid="{00000000-0010-0000-0000-00000C000000}" name="เป้า มิ.ย." dataDxfId="23"/>
    <tableColumn id="13" xr3:uid="{00000000-0010-0000-0000-00000D000000}" name="เป้า ก.ค." dataDxfId="22"/>
    <tableColumn id="14" xr3:uid="{00000000-0010-0000-0000-00000E000000}" name="เป้า ส.ค." dataDxfId="21"/>
    <tableColumn id="15" xr3:uid="{00000000-0010-0000-0000-00000F000000}" name="เป้า ก.ย." dataDxfId="20"/>
    <tableColumn id="16" xr3:uid="{00000000-0010-0000-0000-000010000000}" name="เป้า ต.ค." dataDxfId="19"/>
    <tableColumn id="17" xr3:uid="{00000000-0010-0000-0000-000011000000}" name="เป้า พ.ย." dataDxfId="18"/>
    <tableColumn id="18" xr3:uid="{00000000-0010-0000-0000-000012000000}" name="เป้า ธ.ค." dataDxfId="17"/>
    <tableColumn id="19" xr3:uid="{00000000-0010-0000-0000-000013000000}" name="ผล ม.ค." dataDxfId="16"/>
    <tableColumn id="20" xr3:uid="{00000000-0010-0000-0000-000014000000}" name="ผล ก.พ." dataDxfId="15"/>
    <tableColumn id="21" xr3:uid="{00000000-0010-0000-0000-000015000000}" name="ผล มี.ค." dataDxfId="14"/>
    <tableColumn id="22" xr3:uid="{00000000-0010-0000-0000-000016000000}" name="ผล เม.ย." dataDxfId="13"/>
    <tableColumn id="23" xr3:uid="{00000000-0010-0000-0000-000017000000}" name="ผล พ.ค." dataDxfId="12"/>
    <tableColumn id="24" xr3:uid="{00000000-0010-0000-0000-000018000000}" name="ผล มิ.ย." dataDxfId="11"/>
    <tableColumn id="25" xr3:uid="{00000000-0010-0000-0000-000019000000}" name="ผล ก.ค." dataDxfId="10"/>
    <tableColumn id="26" xr3:uid="{00000000-0010-0000-0000-00001A000000}" name="ผล ส.ค." dataDxfId="9"/>
    <tableColumn id="27" xr3:uid="{00000000-0010-0000-0000-00001B000000}" name="ผล ก.ย." dataDxfId="8"/>
    <tableColumn id="28" xr3:uid="{00000000-0010-0000-0000-00001C000000}" name="ผล ต.ค." dataDxfId="7"/>
    <tableColumn id="29" xr3:uid="{00000000-0010-0000-0000-00001D000000}" name="ผล พ.ย." dataDxfId="6"/>
    <tableColumn id="30" xr3:uid="{00000000-0010-0000-0000-00001E000000}" name="ผล ธ.ค." dataDxfId="5"/>
    <tableColumn id="31" xr3:uid="{00000000-0010-0000-0000-00001F000000}" name="รายละเอียดการดำเนินการ (ล่าสุด)" dataDxfId="4"/>
    <tableColumn id="32" xr3:uid="{00000000-0010-0000-0000-000020000000}" name="ปัญหาอุปสรรค" dataDxfId="3"/>
    <tableColumn id="33" xr3:uid="{00000000-0010-0000-0000-000021000000}" name="ผู้รายงาน" dataDxfId="2"/>
    <tableColumn id="34" xr3:uid="{00000000-0010-0000-0000-000022000000}" name="ถ่วงน้ำหนัก(%)" dataDxfId="1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9"/>
  <sheetViews>
    <sheetView tabSelected="1" zoomScale="114" workbookViewId="0">
      <pane xSplit="6" ySplit="1" topLeftCell="J2" activePane="bottomRight" state="frozen"/>
      <selection pane="topRight"/>
      <selection pane="bottomLeft"/>
      <selection pane="bottomRight" activeCell="V5" sqref="V5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9" bestFit="1" customWidth="1"/>
    <col min="5" max="5" width="36" customWidth="1"/>
    <col min="6" max="6" width="16" hidden="1" customWidth="1"/>
    <col min="7" max="30" width="7" customWidth="1"/>
    <col min="31" max="31" width="32" hidden="1" customWidth="1"/>
    <col min="32" max="32" width="24" hidden="1" customWidth="1"/>
    <col min="33" max="33" width="13" hidden="1" customWidth="1"/>
    <col min="34" max="34" width="14" hidden="1" customWidth="1"/>
  </cols>
  <sheetData>
    <row r="1" spans="1:34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ht="44" x14ac:dyDescent="0.2">
      <c r="A2" s="11" t="s">
        <v>34</v>
      </c>
      <c r="B2" s="11" t="s">
        <v>35</v>
      </c>
      <c r="C2" s="11" t="s">
        <v>36</v>
      </c>
      <c r="D2" s="12" t="s">
        <v>36</v>
      </c>
      <c r="E2" s="12" t="s">
        <v>37</v>
      </c>
      <c r="F2" s="11"/>
      <c r="G2" s="13">
        <v>8.3000000000000007</v>
      </c>
      <c r="H2" s="13">
        <v>16.7</v>
      </c>
      <c r="I2" s="13">
        <v>25</v>
      </c>
      <c r="J2" s="13">
        <v>33.299999999999997</v>
      </c>
      <c r="K2" s="13">
        <v>41.7</v>
      </c>
      <c r="L2" s="13">
        <v>50</v>
      </c>
      <c r="M2" s="13">
        <v>58.3</v>
      </c>
      <c r="N2" s="13">
        <v>66.7</v>
      </c>
      <c r="O2" s="13">
        <v>75</v>
      </c>
      <c r="P2" s="13">
        <v>83.3</v>
      </c>
      <c r="Q2" s="13">
        <v>91.7</v>
      </c>
      <c r="R2" s="13">
        <v>100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5" t="s">
        <v>38</v>
      </c>
      <c r="AF2" s="15"/>
      <c r="AG2" s="16" t="s">
        <v>39</v>
      </c>
      <c r="AH2" s="17">
        <v>2.08</v>
      </c>
    </row>
    <row r="3" spans="1:34" ht="66" x14ac:dyDescent="0.2">
      <c r="A3" s="11" t="s">
        <v>40</v>
      </c>
      <c r="B3" s="11" t="s">
        <v>35</v>
      </c>
      <c r="C3" s="11" t="s">
        <v>41</v>
      </c>
      <c r="D3" s="12" t="s">
        <v>41</v>
      </c>
      <c r="E3" s="12" t="s">
        <v>42</v>
      </c>
      <c r="F3" s="11"/>
      <c r="G3" s="13">
        <v>8.3000000000000007</v>
      </c>
      <c r="H3" s="13">
        <v>16.7</v>
      </c>
      <c r="I3" s="13">
        <v>25</v>
      </c>
      <c r="J3" s="13">
        <v>33.299999999999997</v>
      </c>
      <c r="K3" s="13">
        <v>41.7</v>
      </c>
      <c r="L3" s="13">
        <v>50</v>
      </c>
      <c r="M3" s="13">
        <v>58.3</v>
      </c>
      <c r="N3" s="13">
        <v>66.7</v>
      </c>
      <c r="O3" s="13">
        <v>75</v>
      </c>
      <c r="P3" s="13">
        <v>83.3</v>
      </c>
      <c r="Q3" s="13">
        <v>91.7</v>
      </c>
      <c r="R3" s="13">
        <v>100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 t="s">
        <v>43</v>
      </c>
      <c r="AF3" s="15"/>
      <c r="AG3" s="16" t="s">
        <v>39</v>
      </c>
      <c r="AH3" s="17">
        <v>2.08</v>
      </c>
    </row>
    <row r="4" spans="1:34" ht="44" x14ac:dyDescent="0.2">
      <c r="A4" s="11" t="s">
        <v>44</v>
      </c>
      <c r="B4" s="11" t="s">
        <v>35</v>
      </c>
      <c r="C4" s="11" t="s">
        <v>45</v>
      </c>
      <c r="D4" s="12" t="s">
        <v>45</v>
      </c>
      <c r="E4" s="12" t="s">
        <v>46</v>
      </c>
      <c r="F4" s="11"/>
      <c r="G4" s="13">
        <v>8.3000000000000007</v>
      </c>
      <c r="H4" s="13">
        <v>16.7</v>
      </c>
      <c r="I4" s="13">
        <v>25</v>
      </c>
      <c r="J4" s="13">
        <v>33.299999999999997</v>
      </c>
      <c r="K4" s="13">
        <v>41.7</v>
      </c>
      <c r="L4" s="13">
        <v>50</v>
      </c>
      <c r="M4" s="13">
        <v>58.3</v>
      </c>
      <c r="N4" s="13">
        <v>66.7</v>
      </c>
      <c r="O4" s="13">
        <v>75</v>
      </c>
      <c r="P4" s="13">
        <v>83.3</v>
      </c>
      <c r="Q4" s="13">
        <v>91.7</v>
      </c>
      <c r="R4" s="13">
        <v>100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5" t="s">
        <v>47</v>
      </c>
      <c r="AF4" s="15"/>
      <c r="AG4" s="16" t="s">
        <v>39</v>
      </c>
      <c r="AH4" s="17">
        <v>2.08</v>
      </c>
    </row>
    <row r="5" spans="1:34" ht="44" x14ac:dyDescent="0.2">
      <c r="A5" s="11" t="s">
        <v>48</v>
      </c>
      <c r="B5" s="11" t="s">
        <v>35</v>
      </c>
      <c r="C5" s="11" t="s">
        <v>49</v>
      </c>
      <c r="D5" s="12" t="s">
        <v>49</v>
      </c>
      <c r="E5" s="12" t="s">
        <v>50</v>
      </c>
      <c r="F5" s="11"/>
      <c r="G5" s="13"/>
      <c r="H5" s="13"/>
      <c r="I5" s="13"/>
      <c r="J5" s="13">
        <v>33.299999999999997</v>
      </c>
      <c r="K5" s="13">
        <v>66.7</v>
      </c>
      <c r="L5" s="13">
        <v>100</v>
      </c>
      <c r="M5" s="13">
        <v>100</v>
      </c>
      <c r="N5" s="13">
        <v>100</v>
      </c>
      <c r="O5" s="13">
        <v>100</v>
      </c>
      <c r="P5" s="13">
        <v>100</v>
      </c>
      <c r="Q5" s="13">
        <v>100</v>
      </c>
      <c r="R5" s="13">
        <v>100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5" t="s">
        <v>51</v>
      </c>
      <c r="AF5" s="15"/>
      <c r="AG5" s="16" t="s">
        <v>39</v>
      </c>
      <c r="AH5" s="17">
        <v>2.08</v>
      </c>
    </row>
    <row r="6" spans="1:34" ht="44" x14ac:dyDescent="0.2">
      <c r="A6" s="11" t="s">
        <v>52</v>
      </c>
      <c r="B6" s="11" t="s">
        <v>35</v>
      </c>
      <c r="C6" s="11" t="s">
        <v>53</v>
      </c>
      <c r="D6" s="12" t="s">
        <v>53</v>
      </c>
      <c r="E6" s="12" t="s">
        <v>54</v>
      </c>
      <c r="F6" s="11"/>
      <c r="G6" s="13"/>
      <c r="H6" s="13"/>
      <c r="I6" s="13"/>
      <c r="J6" s="13"/>
      <c r="K6" s="13"/>
      <c r="L6" s="13"/>
      <c r="M6" s="13">
        <v>20</v>
      </c>
      <c r="N6" s="13">
        <v>40</v>
      </c>
      <c r="O6" s="13">
        <v>60</v>
      </c>
      <c r="P6" s="13">
        <v>80</v>
      </c>
      <c r="Q6" s="13">
        <v>100</v>
      </c>
      <c r="R6" s="13">
        <v>100</v>
      </c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5"/>
      <c r="AF6" s="15"/>
      <c r="AG6" s="16" t="s">
        <v>39</v>
      </c>
      <c r="AH6" s="17">
        <v>2.08</v>
      </c>
    </row>
    <row r="7" spans="1:34" ht="66" x14ac:dyDescent="0.2">
      <c r="A7" s="11" t="s">
        <v>55</v>
      </c>
      <c r="B7" s="11" t="s">
        <v>35</v>
      </c>
      <c r="C7" s="11" t="s">
        <v>56</v>
      </c>
      <c r="D7" s="12" t="s">
        <v>56</v>
      </c>
      <c r="E7" s="12" t="s">
        <v>57</v>
      </c>
      <c r="F7" s="11"/>
      <c r="G7" s="13"/>
      <c r="H7" s="13"/>
      <c r="I7" s="13"/>
      <c r="J7" s="13"/>
      <c r="K7" s="13"/>
      <c r="L7" s="13"/>
      <c r="M7" s="13"/>
      <c r="N7" s="13"/>
      <c r="O7" s="13"/>
      <c r="P7" s="13">
        <v>33.299999999999997</v>
      </c>
      <c r="Q7" s="13">
        <v>66.7</v>
      </c>
      <c r="R7" s="13">
        <v>100</v>
      </c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  <c r="AF7" s="15"/>
      <c r="AG7" s="16" t="s">
        <v>39</v>
      </c>
      <c r="AH7" s="17">
        <v>2.08</v>
      </c>
    </row>
    <row r="8" spans="1:34" ht="44" x14ac:dyDescent="0.2">
      <c r="A8" s="11" t="s">
        <v>58</v>
      </c>
      <c r="B8" s="11" t="s">
        <v>35</v>
      </c>
      <c r="C8" s="11" t="s">
        <v>59</v>
      </c>
      <c r="D8" s="12" t="s">
        <v>59</v>
      </c>
      <c r="E8" s="12" t="s">
        <v>60</v>
      </c>
      <c r="F8" s="11"/>
      <c r="G8" s="13"/>
      <c r="H8" s="13"/>
      <c r="I8" s="13"/>
      <c r="J8" s="13"/>
      <c r="K8" s="13"/>
      <c r="L8" s="13"/>
      <c r="M8" s="13"/>
      <c r="N8" s="13"/>
      <c r="O8" s="13"/>
      <c r="P8" s="13">
        <v>33.299999999999997</v>
      </c>
      <c r="Q8" s="13">
        <v>66.7</v>
      </c>
      <c r="R8" s="13">
        <v>100</v>
      </c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  <c r="AF8" s="15"/>
      <c r="AG8" s="16" t="s">
        <v>39</v>
      </c>
      <c r="AH8" s="17">
        <v>2.08</v>
      </c>
    </row>
    <row r="9" spans="1:34" ht="66" x14ac:dyDescent="0.2">
      <c r="A9" s="11" t="s">
        <v>61</v>
      </c>
      <c r="B9" s="11" t="s">
        <v>35</v>
      </c>
      <c r="C9" s="11" t="s">
        <v>62</v>
      </c>
      <c r="D9" s="12" t="s">
        <v>62</v>
      </c>
      <c r="E9" s="12" t="s">
        <v>63</v>
      </c>
      <c r="F9" s="11"/>
      <c r="G9" s="13"/>
      <c r="H9" s="13"/>
      <c r="I9" s="13"/>
      <c r="J9" s="13"/>
      <c r="K9" s="13"/>
      <c r="L9" s="13"/>
      <c r="M9" s="13"/>
      <c r="N9" s="13"/>
      <c r="O9" s="13"/>
      <c r="P9" s="13">
        <v>33.299999999999997</v>
      </c>
      <c r="Q9" s="13">
        <v>66.7</v>
      </c>
      <c r="R9" s="13">
        <v>100</v>
      </c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  <c r="AF9" s="15"/>
      <c r="AG9" s="16" t="s">
        <v>39</v>
      </c>
      <c r="AH9" s="17">
        <v>2.08</v>
      </c>
    </row>
    <row r="10" spans="1:34" ht="22" x14ac:dyDescent="0.2">
      <c r="A10" s="11" t="s">
        <v>64</v>
      </c>
      <c r="B10" s="11" t="s">
        <v>35</v>
      </c>
      <c r="C10" s="11" t="s">
        <v>65</v>
      </c>
      <c r="D10" s="12" t="s">
        <v>65</v>
      </c>
      <c r="E10" s="12" t="s">
        <v>66</v>
      </c>
      <c r="F10" s="11"/>
      <c r="G10" s="13">
        <v>8.3000000000000007</v>
      </c>
      <c r="H10" s="13">
        <v>16.7</v>
      </c>
      <c r="I10" s="13">
        <v>25</v>
      </c>
      <c r="J10" s="13">
        <v>33.299999999999997</v>
      </c>
      <c r="K10" s="13">
        <v>41.7</v>
      </c>
      <c r="L10" s="13">
        <v>50</v>
      </c>
      <c r="M10" s="13">
        <v>58.3</v>
      </c>
      <c r="N10" s="13">
        <v>66.7</v>
      </c>
      <c r="O10" s="13">
        <v>75</v>
      </c>
      <c r="P10" s="13">
        <v>83.3</v>
      </c>
      <c r="Q10" s="13">
        <v>91.7</v>
      </c>
      <c r="R10" s="13">
        <v>100</v>
      </c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 t="s">
        <v>67</v>
      </c>
      <c r="AF10" s="15"/>
      <c r="AG10" s="16" t="s">
        <v>39</v>
      </c>
      <c r="AH10" s="17">
        <v>2.08</v>
      </c>
    </row>
    <row r="11" spans="1:34" ht="22" x14ac:dyDescent="0.2">
      <c r="A11" s="11" t="s">
        <v>68</v>
      </c>
      <c r="B11" s="11" t="s">
        <v>35</v>
      </c>
      <c r="C11" s="11" t="s">
        <v>69</v>
      </c>
      <c r="D11" s="12" t="s">
        <v>69</v>
      </c>
      <c r="E11" s="12" t="s">
        <v>70</v>
      </c>
      <c r="F11" s="11"/>
      <c r="G11" s="13"/>
      <c r="H11" s="13"/>
      <c r="I11" s="13"/>
      <c r="J11" s="13">
        <v>16.7</v>
      </c>
      <c r="K11" s="13">
        <v>33.299999999999997</v>
      </c>
      <c r="L11" s="13">
        <v>50</v>
      </c>
      <c r="M11" s="13">
        <v>66.7</v>
      </c>
      <c r="N11" s="13">
        <v>83.3</v>
      </c>
      <c r="O11" s="13">
        <v>100</v>
      </c>
      <c r="P11" s="13">
        <v>100</v>
      </c>
      <c r="Q11" s="13">
        <v>100</v>
      </c>
      <c r="R11" s="13">
        <v>100</v>
      </c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5" t="s">
        <v>71</v>
      </c>
      <c r="AF11" s="15"/>
      <c r="AG11" s="16" t="s">
        <v>39</v>
      </c>
      <c r="AH11" s="17">
        <v>2.08</v>
      </c>
    </row>
    <row r="12" spans="1:34" ht="22" x14ac:dyDescent="0.2">
      <c r="A12" s="11" t="s">
        <v>72</v>
      </c>
      <c r="B12" s="11" t="s">
        <v>35</v>
      </c>
      <c r="C12" s="11" t="s">
        <v>73</v>
      </c>
      <c r="D12" s="12" t="s">
        <v>73</v>
      </c>
      <c r="E12" s="12" t="s">
        <v>74</v>
      </c>
      <c r="F12" s="11"/>
      <c r="G12" s="13"/>
      <c r="H12" s="13"/>
      <c r="I12" s="13"/>
      <c r="J12" s="13"/>
      <c r="K12" s="13"/>
      <c r="L12" s="13"/>
      <c r="M12" s="13">
        <v>33.299999999999997</v>
      </c>
      <c r="N12" s="13">
        <v>66.7</v>
      </c>
      <c r="O12" s="13">
        <v>100</v>
      </c>
      <c r="P12" s="13">
        <v>100</v>
      </c>
      <c r="Q12" s="13">
        <v>100</v>
      </c>
      <c r="R12" s="13">
        <v>100</v>
      </c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5"/>
      <c r="AF12" s="15"/>
      <c r="AG12" s="16" t="s">
        <v>39</v>
      </c>
      <c r="AH12" s="17">
        <v>2.08</v>
      </c>
    </row>
    <row r="13" spans="1:34" ht="44" x14ac:dyDescent="0.2">
      <c r="A13" s="11" t="s">
        <v>75</v>
      </c>
      <c r="B13" s="11" t="s">
        <v>35</v>
      </c>
      <c r="C13" s="11" t="s">
        <v>76</v>
      </c>
      <c r="D13" s="12" t="s">
        <v>76</v>
      </c>
      <c r="E13" s="12" t="s">
        <v>77</v>
      </c>
      <c r="F13" s="11"/>
      <c r="G13" s="13">
        <v>8.3000000000000007</v>
      </c>
      <c r="H13" s="13">
        <v>16.7</v>
      </c>
      <c r="I13" s="13">
        <v>25</v>
      </c>
      <c r="J13" s="13">
        <v>33.299999999999997</v>
      </c>
      <c r="K13" s="13">
        <v>41.7</v>
      </c>
      <c r="L13" s="13">
        <v>50</v>
      </c>
      <c r="M13" s="13">
        <v>58.3</v>
      </c>
      <c r="N13" s="13">
        <v>66.7</v>
      </c>
      <c r="O13" s="13">
        <v>75</v>
      </c>
      <c r="P13" s="13">
        <v>83.3</v>
      </c>
      <c r="Q13" s="13">
        <v>91.7</v>
      </c>
      <c r="R13" s="13">
        <v>100</v>
      </c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5" t="s">
        <v>78</v>
      </c>
      <c r="AF13" s="15"/>
      <c r="AG13" s="16" t="s">
        <v>39</v>
      </c>
      <c r="AH13" s="17">
        <v>2.08</v>
      </c>
    </row>
    <row r="14" spans="1:34" ht="44" x14ac:dyDescent="0.2">
      <c r="A14" s="11" t="s">
        <v>79</v>
      </c>
      <c r="B14" s="11" t="s">
        <v>35</v>
      </c>
      <c r="C14" s="11" t="s">
        <v>80</v>
      </c>
      <c r="D14" s="12" t="s">
        <v>80</v>
      </c>
      <c r="E14" s="12" t="s">
        <v>81</v>
      </c>
      <c r="F14" s="11"/>
      <c r="G14" s="13">
        <v>8.3000000000000007</v>
      </c>
      <c r="H14" s="13">
        <v>16.7</v>
      </c>
      <c r="I14" s="13">
        <v>25</v>
      </c>
      <c r="J14" s="13">
        <v>33.299999999999997</v>
      </c>
      <c r="K14" s="13">
        <v>41.7</v>
      </c>
      <c r="L14" s="13">
        <v>50</v>
      </c>
      <c r="M14" s="13">
        <v>58.3</v>
      </c>
      <c r="N14" s="13">
        <v>66.7</v>
      </c>
      <c r="O14" s="13">
        <v>75</v>
      </c>
      <c r="P14" s="13">
        <v>83.3</v>
      </c>
      <c r="Q14" s="13">
        <v>91.7</v>
      </c>
      <c r="R14" s="13">
        <v>100</v>
      </c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5" t="s">
        <v>82</v>
      </c>
      <c r="AF14" s="15"/>
      <c r="AG14" s="16" t="s">
        <v>39</v>
      </c>
      <c r="AH14" s="17">
        <v>2.08</v>
      </c>
    </row>
    <row r="15" spans="1:34" ht="66" x14ac:dyDescent="0.2">
      <c r="A15" s="11" t="s">
        <v>83</v>
      </c>
      <c r="B15" s="11" t="s">
        <v>35</v>
      </c>
      <c r="C15" s="11" t="s">
        <v>84</v>
      </c>
      <c r="D15" s="12" t="s">
        <v>84</v>
      </c>
      <c r="E15" s="12" t="s">
        <v>85</v>
      </c>
      <c r="F15" s="11"/>
      <c r="G15" s="13">
        <v>8.3000000000000007</v>
      </c>
      <c r="H15" s="13">
        <v>16.7</v>
      </c>
      <c r="I15" s="13">
        <v>25</v>
      </c>
      <c r="J15" s="13">
        <v>33.299999999999997</v>
      </c>
      <c r="K15" s="13">
        <v>41.7</v>
      </c>
      <c r="L15" s="13">
        <v>50</v>
      </c>
      <c r="M15" s="13">
        <v>58.3</v>
      </c>
      <c r="N15" s="13">
        <v>66.7</v>
      </c>
      <c r="O15" s="13">
        <v>75</v>
      </c>
      <c r="P15" s="13">
        <v>83.3</v>
      </c>
      <c r="Q15" s="13">
        <v>91.7</v>
      </c>
      <c r="R15" s="13">
        <v>100</v>
      </c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5" t="s">
        <v>86</v>
      </c>
      <c r="AF15" s="15"/>
      <c r="AG15" s="16" t="s">
        <v>39</v>
      </c>
      <c r="AH15" s="17">
        <v>2.08</v>
      </c>
    </row>
    <row r="16" spans="1:34" ht="44" x14ac:dyDescent="0.2">
      <c r="A16" s="11" t="s">
        <v>87</v>
      </c>
      <c r="B16" s="11" t="s">
        <v>88</v>
      </c>
      <c r="C16" s="11" t="s">
        <v>89</v>
      </c>
      <c r="D16" s="12" t="s">
        <v>90</v>
      </c>
      <c r="E16" s="12" t="s">
        <v>91</v>
      </c>
      <c r="F16" s="11" t="s">
        <v>92</v>
      </c>
      <c r="G16" s="13"/>
      <c r="H16" s="13"/>
      <c r="I16" s="13"/>
      <c r="J16" s="13"/>
      <c r="K16" s="13"/>
      <c r="L16" s="13"/>
      <c r="M16" s="13">
        <v>10</v>
      </c>
      <c r="N16" s="13">
        <v>30</v>
      </c>
      <c r="O16" s="13">
        <v>40</v>
      </c>
      <c r="P16" s="13">
        <v>50</v>
      </c>
      <c r="Q16" s="13">
        <v>70</v>
      </c>
      <c r="R16" s="13">
        <v>100</v>
      </c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5"/>
      <c r="AF16" s="15"/>
      <c r="AG16" s="16" t="s">
        <v>93</v>
      </c>
      <c r="AH16" s="17">
        <v>2.08</v>
      </c>
    </row>
    <row r="17" spans="1:34" ht="44" x14ac:dyDescent="0.2">
      <c r="A17" s="11" t="s">
        <v>94</v>
      </c>
      <c r="B17" s="11" t="s">
        <v>88</v>
      </c>
      <c r="C17" s="11" t="s">
        <v>89</v>
      </c>
      <c r="D17" s="12" t="s">
        <v>95</v>
      </c>
      <c r="E17" s="12" t="s">
        <v>96</v>
      </c>
      <c r="F17" s="11" t="s">
        <v>92</v>
      </c>
      <c r="G17" s="13"/>
      <c r="H17" s="13"/>
      <c r="I17" s="13"/>
      <c r="J17" s="13"/>
      <c r="K17" s="13">
        <v>12.5</v>
      </c>
      <c r="L17" s="13">
        <v>25</v>
      </c>
      <c r="M17" s="13">
        <v>37.5</v>
      </c>
      <c r="N17" s="13">
        <v>50</v>
      </c>
      <c r="O17" s="13">
        <v>62.5</v>
      </c>
      <c r="P17" s="13">
        <v>75</v>
      </c>
      <c r="Q17" s="13">
        <v>87.5</v>
      </c>
      <c r="R17" s="13">
        <v>100</v>
      </c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5" t="s">
        <v>97</v>
      </c>
      <c r="AF17" s="15"/>
      <c r="AG17" s="16" t="s">
        <v>93</v>
      </c>
      <c r="AH17" s="17">
        <v>2.08</v>
      </c>
    </row>
    <row r="18" spans="1:34" ht="44" x14ac:dyDescent="0.2">
      <c r="A18" s="11" t="s">
        <v>98</v>
      </c>
      <c r="B18" s="11" t="s">
        <v>88</v>
      </c>
      <c r="C18" s="11" t="s">
        <v>89</v>
      </c>
      <c r="D18" s="12" t="s">
        <v>99</v>
      </c>
      <c r="E18" s="12" t="s">
        <v>100</v>
      </c>
      <c r="F18" s="11" t="s">
        <v>92</v>
      </c>
      <c r="G18" s="13"/>
      <c r="H18" s="13"/>
      <c r="I18" s="13"/>
      <c r="J18" s="13"/>
      <c r="K18" s="13"/>
      <c r="L18" s="13">
        <v>12.5</v>
      </c>
      <c r="M18" s="13">
        <v>25</v>
      </c>
      <c r="N18" s="13">
        <v>50</v>
      </c>
      <c r="O18" s="13">
        <v>62.5</v>
      </c>
      <c r="P18" s="13">
        <v>75</v>
      </c>
      <c r="Q18" s="13">
        <v>87.5</v>
      </c>
      <c r="R18" s="13">
        <v>100</v>
      </c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5" t="s">
        <v>101</v>
      </c>
      <c r="AF18" s="15"/>
      <c r="AG18" s="16" t="s">
        <v>93</v>
      </c>
      <c r="AH18" s="17">
        <v>2.08</v>
      </c>
    </row>
    <row r="19" spans="1:34" ht="66" x14ac:dyDescent="0.2">
      <c r="A19" s="11" t="s">
        <v>102</v>
      </c>
      <c r="B19" s="11" t="s">
        <v>88</v>
      </c>
      <c r="C19" s="11" t="s">
        <v>103</v>
      </c>
      <c r="D19" s="12" t="s">
        <v>104</v>
      </c>
      <c r="E19" s="12" t="s">
        <v>105</v>
      </c>
      <c r="F19" s="11" t="s">
        <v>106</v>
      </c>
      <c r="G19" s="13">
        <v>16.7</v>
      </c>
      <c r="H19" s="13">
        <v>33.299999999999997</v>
      </c>
      <c r="I19" s="13">
        <v>50</v>
      </c>
      <c r="J19" s="13">
        <v>66.7</v>
      </c>
      <c r="K19" s="13">
        <v>83.3</v>
      </c>
      <c r="L19" s="13">
        <v>100</v>
      </c>
      <c r="M19" s="13">
        <v>100</v>
      </c>
      <c r="N19" s="13">
        <v>100</v>
      </c>
      <c r="O19" s="13">
        <v>100</v>
      </c>
      <c r="P19" s="13">
        <v>100</v>
      </c>
      <c r="Q19" s="13">
        <v>100</v>
      </c>
      <c r="R19" s="13">
        <v>100</v>
      </c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 t="s">
        <v>107</v>
      </c>
      <c r="AF19" s="15"/>
      <c r="AG19" s="16" t="s">
        <v>108</v>
      </c>
      <c r="AH19" s="17">
        <v>2.08</v>
      </c>
    </row>
    <row r="20" spans="1:34" ht="44" x14ac:dyDescent="0.2">
      <c r="A20" s="11" t="s">
        <v>109</v>
      </c>
      <c r="B20" s="11" t="s">
        <v>88</v>
      </c>
      <c r="C20" s="11" t="s">
        <v>103</v>
      </c>
      <c r="D20" s="12" t="s">
        <v>110</v>
      </c>
      <c r="E20" s="12" t="s">
        <v>111</v>
      </c>
      <c r="F20" s="11" t="s">
        <v>106</v>
      </c>
      <c r="G20" s="13">
        <v>3.8</v>
      </c>
      <c r="H20" s="13">
        <v>7.7</v>
      </c>
      <c r="I20" s="13">
        <v>11.5</v>
      </c>
      <c r="J20" s="13">
        <v>19.2</v>
      </c>
      <c r="K20" s="13">
        <v>26.9</v>
      </c>
      <c r="L20" s="13">
        <v>34.6</v>
      </c>
      <c r="M20" s="13">
        <v>42.3</v>
      </c>
      <c r="N20" s="13">
        <v>50</v>
      </c>
      <c r="O20" s="13">
        <v>61.5</v>
      </c>
      <c r="P20" s="13">
        <v>76.900000000000006</v>
      </c>
      <c r="Q20" s="13">
        <v>88.5</v>
      </c>
      <c r="R20" s="13">
        <v>100</v>
      </c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5" t="s">
        <v>112</v>
      </c>
      <c r="AF20" s="15"/>
      <c r="AG20" s="16" t="s">
        <v>108</v>
      </c>
      <c r="AH20" s="17">
        <v>2.08</v>
      </c>
    </row>
    <row r="21" spans="1:34" ht="44" x14ac:dyDescent="0.2">
      <c r="A21" s="11" t="s">
        <v>113</v>
      </c>
      <c r="B21" s="11" t="s">
        <v>88</v>
      </c>
      <c r="C21" s="11" t="s">
        <v>103</v>
      </c>
      <c r="D21" s="12" t="s">
        <v>114</v>
      </c>
      <c r="E21" s="12" t="s">
        <v>115</v>
      </c>
      <c r="F21" s="11" t="s">
        <v>106</v>
      </c>
      <c r="G21" s="13">
        <v>11.1</v>
      </c>
      <c r="H21" s="13">
        <v>33.299999999999997</v>
      </c>
      <c r="I21" s="13">
        <v>44.4</v>
      </c>
      <c r="J21" s="13">
        <v>55.6</v>
      </c>
      <c r="K21" s="13">
        <v>61.1</v>
      </c>
      <c r="L21" s="13">
        <v>66.7</v>
      </c>
      <c r="M21" s="13">
        <v>72.2</v>
      </c>
      <c r="N21" s="13">
        <v>77.8</v>
      </c>
      <c r="O21" s="13">
        <v>83.3</v>
      </c>
      <c r="P21" s="13">
        <v>88.9</v>
      </c>
      <c r="Q21" s="13">
        <v>94.4</v>
      </c>
      <c r="R21" s="13">
        <v>100</v>
      </c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5" t="s">
        <v>116</v>
      </c>
      <c r="AF21" s="15"/>
      <c r="AG21" s="16" t="s">
        <v>108</v>
      </c>
      <c r="AH21" s="17">
        <v>2.08</v>
      </c>
    </row>
    <row r="22" spans="1:34" ht="44" x14ac:dyDescent="0.2">
      <c r="A22" s="11" t="s">
        <v>117</v>
      </c>
      <c r="B22" s="11" t="s">
        <v>88</v>
      </c>
      <c r="C22" s="11" t="s">
        <v>103</v>
      </c>
      <c r="D22" s="12" t="s">
        <v>118</v>
      </c>
      <c r="E22" s="12" t="s">
        <v>119</v>
      </c>
      <c r="F22" s="11" t="s">
        <v>106</v>
      </c>
      <c r="G22" s="13"/>
      <c r="H22" s="13"/>
      <c r="I22" s="13"/>
      <c r="J22" s="13"/>
      <c r="K22" s="13"/>
      <c r="L22" s="13"/>
      <c r="M22" s="13">
        <v>14.3</v>
      </c>
      <c r="N22" s="13">
        <v>28.6</v>
      </c>
      <c r="O22" s="13">
        <v>57.1</v>
      </c>
      <c r="P22" s="13">
        <v>71.400000000000006</v>
      </c>
      <c r="Q22" s="13">
        <v>85.7</v>
      </c>
      <c r="R22" s="13">
        <v>100</v>
      </c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5"/>
      <c r="AF22" s="15"/>
      <c r="AG22" s="16" t="s">
        <v>108</v>
      </c>
      <c r="AH22" s="17">
        <v>2.08</v>
      </c>
    </row>
    <row r="23" spans="1:34" ht="44" x14ac:dyDescent="0.2">
      <c r="A23" s="11" t="s">
        <v>120</v>
      </c>
      <c r="B23" s="11" t="s">
        <v>88</v>
      </c>
      <c r="C23" s="11" t="s">
        <v>103</v>
      </c>
      <c r="D23" s="12" t="s">
        <v>121</v>
      </c>
      <c r="E23" s="12" t="s">
        <v>122</v>
      </c>
      <c r="F23" s="11" t="s">
        <v>106</v>
      </c>
      <c r="G23" s="13">
        <v>12.5</v>
      </c>
      <c r="H23" s="13">
        <v>37.5</v>
      </c>
      <c r="I23" s="13">
        <v>50</v>
      </c>
      <c r="J23" s="13">
        <v>75</v>
      </c>
      <c r="K23" s="13">
        <v>100</v>
      </c>
      <c r="L23" s="13">
        <v>100</v>
      </c>
      <c r="M23" s="13">
        <v>100</v>
      </c>
      <c r="N23" s="13">
        <v>100</v>
      </c>
      <c r="O23" s="13">
        <v>100</v>
      </c>
      <c r="P23" s="13">
        <v>100</v>
      </c>
      <c r="Q23" s="13">
        <v>100</v>
      </c>
      <c r="R23" s="13">
        <v>100</v>
      </c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5" t="s">
        <v>123</v>
      </c>
      <c r="AF23" s="15"/>
      <c r="AG23" s="16" t="s">
        <v>108</v>
      </c>
      <c r="AH23" s="17">
        <v>2.08</v>
      </c>
    </row>
    <row r="24" spans="1:34" ht="44" x14ac:dyDescent="0.2">
      <c r="A24" s="11" t="s">
        <v>124</v>
      </c>
      <c r="B24" s="11" t="s">
        <v>88</v>
      </c>
      <c r="C24" s="11" t="s">
        <v>103</v>
      </c>
      <c r="D24" s="12" t="s">
        <v>125</v>
      </c>
      <c r="E24" s="12" t="s">
        <v>126</v>
      </c>
      <c r="F24" s="11" t="s">
        <v>127</v>
      </c>
      <c r="G24" s="13">
        <v>5.9</v>
      </c>
      <c r="H24" s="13">
        <v>11.8</v>
      </c>
      <c r="I24" s="13">
        <v>23.5</v>
      </c>
      <c r="J24" s="13">
        <v>35.299999999999997</v>
      </c>
      <c r="K24" s="13">
        <v>41.2</v>
      </c>
      <c r="L24" s="13">
        <v>47.1</v>
      </c>
      <c r="M24" s="13">
        <v>52.9</v>
      </c>
      <c r="N24" s="13">
        <v>58.8</v>
      </c>
      <c r="O24" s="13">
        <v>64.7</v>
      </c>
      <c r="P24" s="13">
        <v>76.5</v>
      </c>
      <c r="Q24" s="13">
        <v>88.2</v>
      </c>
      <c r="R24" s="13">
        <v>100</v>
      </c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5" t="s">
        <v>128</v>
      </c>
      <c r="AF24" s="15"/>
      <c r="AG24" s="16" t="s">
        <v>108</v>
      </c>
      <c r="AH24" s="17">
        <v>2.08</v>
      </c>
    </row>
    <row r="25" spans="1:34" ht="44" x14ac:dyDescent="0.2">
      <c r="A25" s="11" t="s">
        <v>129</v>
      </c>
      <c r="B25" s="11" t="s">
        <v>88</v>
      </c>
      <c r="C25" s="11" t="s">
        <v>130</v>
      </c>
      <c r="D25" s="12" t="s">
        <v>131</v>
      </c>
      <c r="E25" s="12" t="s">
        <v>132</v>
      </c>
      <c r="F25" s="11" t="s">
        <v>133</v>
      </c>
      <c r="G25" s="13">
        <v>6.7</v>
      </c>
      <c r="H25" s="13">
        <v>13.3</v>
      </c>
      <c r="I25" s="13">
        <v>26.7</v>
      </c>
      <c r="J25" s="13">
        <v>46.7</v>
      </c>
      <c r="K25" s="13">
        <v>66.7</v>
      </c>
      <c r="L25" s="13">
        <v>86.7</v>
      </c>
      <c r="M25" s="13">
        <v>100</v>
      </c>
      <c r="N25" s="13">
        <v>100</v>
      </c>
      <c r="O25" s="13">
        <v>100</v>
      </c>
      <c r="P25" s="13">
        <v>100</v>
      </c>
      <c r="Q25" s="13">
        <v>100</v>
      </c>
      <c r="R25" s="13">
        <v>100</v>
      </c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5" t="s">
        <v>134</v>
      </c>
      <c r="AF25" s="15" t="s">
        <v>135</v>
      </c>
      <c r="AG25" s="16" t="s">
        <v>136</v>
      </c>
      <c r="AH25" s="17">
        <v>2.08</v>
      </c>
    </row>
    <row r="26" spans="1:34" ht="44" x14ac:dyDescent="0.2">
      <c r="A26" s="11" t="s">
        <v>137</v>
      </c>
      <c r="B26" s="11" t="s">
        <v>88</v>
      </c>
      <c r="C26" s="11" t="s">
        <v>130</v>
      </c>
      <c r="D26" s="12" t="s">
        <v>138</v>
      </c>
      <c r="E26" s="12" t="s">
        <v>139</v>
      </c>
      <c r="F26" s="11" t="s">
        <v>133</v>
      </c>
      <c r="G26" s="13">
        <v>6.7</v>
      </c>
      <c r="H26" s="13">
        <v>20</v>
      </c>
      <c r="I26" s="13">
        <v>40</v>
      </c>
      <c r="J26" s="13">
        <v>46.7</v>
      </c>
      <c r="K26" s="13">
        <v>53.3</v>
      </c>
      <c r="L26" s="13">
        <v>60</v>
      </c>
      <c r="M26" s="13">
        <v>66.7</v>
      </c>
      <c r="N26" s="13">
        <v>73.3</v>
      </c>
      <c r="O26" s="13">
        <v>80</v>
      </c>
      <c r="P26" s="13">
        <v>86.7</v>
      </c>
      <c r="Q26" s="13">
        <v>93.3</v>
      </c>
      <c r="R26" s="13">
        <v>100</v>
      </c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5" t="s">
        <v>140</v>
      </c>
      <c r="AF26" s="15"/>
      <c r="AG26" s="16" t="s">
        <v>136</v>
      </c>
      <c r="AH26" s="17">
        <v>2.08</v>
      </c>
    </row>
    <row r="27" spans="1:34" ht="44" x14ac:dyDescent="0.2">
      <c r="A27" s="11" t="s">
        <v>141</v>
      </c>
      <c r="B27" s="11" t="s">
        <v>88</v>
      </c>
      <c r="C27" s="11" t="s">
        <v>130</v>
      </c>
      <c r="D27" s="12" t="s">
        <v>142</v>
      </c>
      <c r="E27" s="12" t="s">
        <v>143</v>
      </c>
      <c r="F27" s="11" t="s">
        <v>133</v>
      </c>
      <c r="G27" s="13"/>
      <c r="H27" s="13"/>
      <c r="I27" s="13"/>
      <c r="J27" s="13">
        <v>25</v>
      </c>
      <c r="K27" s="13">
        <v>50</v>
      </c>
      <c r="L27" s="13">
        <v>75</v>
      </c>
      <c r="M27" s="13">
        <v>100</v>
      </c>
      <c r="N27" s="13">
        <v>100</v>
      </c>
      <c r="O27" s="13">
        <v>100</v>
      </c>
      <c r="P27" s="13">
        <v>100</v>
      </c>
      <c r="Q27" s="13">
        <v>100</v>
      </c>
      <c r="R27" s="13">
        <v>100</v>
      </c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5" t="s">
        <v>144</v>
      </c>
      <c r="AF27" s="15"/>
      <c r="AG27" s="16" t="s">
        <v>136</v>
      </c>
      <c r="AH27" s="17">
        <v>2.08</v>
      </c>
    </row>
    <row r="28" spans="1:34" ht="44" x14ac:dyDescent="0.2">
      <c r="A28" s="11" t="s">
        <v>145</v>
      </c>
      <c r="B28" s="11" t="s">
        <v>88</v>
      </c>
      <c r="C28" s="11" t="s">
        <v>130</v>
      </c>
      <c r="D28" s="12" t="s">
        <v>146</v>
      </c>
      <c r="E28" s="12" t="s">
        <v>147</v>
      </c>
      <c r="F28" s="11" t="s">
        <v>133</v>
      </c>
      <c r="G28" s="13"/>
      <c r="H28" s="13"/>
      <c r="I28" s="13"/>
      <c r="J28" s="13">
        <v>25</v>
      </c>
      <c r="K28" s="13">
        <v>50</v>
      </c>
      <c r="L28" s="13">
        <v>75</v>
      </c>
      <c r="M28" s="13">
        <v>100</v>
      </c>
      <c r="N28" s="13">
        <v>100</v>
      </c>
      <c r="O28" s="13">
        <v>100</v>
      </c>
      <c r="P28" s="13">
        <v>100</v>
      </c>
      <c r="Q28" s="13">
        <v>100</v>
      </c>
      <c r="R28" s="13">
        <v>100</v>
      </c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5" t="s">
        <v>148</v>
      </c>
      <c r="AF28" s="15"/>
      <c r="AG28" s="16" t="s">
        <v>136</v>
      </c>
      <c r="AH28" s="17">
        <v>2.08</v>
      </c>
    </row>
    <row r="29" spans="1:34" ht="66" x14ac:dyDescent="0.2">
      <c r="A29" s="11" t="s">
        <v>149</v>
      </c>
      <c r="B29" s="11" t="s">
        <v>88</v>
      </c>
      <c r="C29" s="11" t="s">
        <v>130</v>
      </c>
      <c r="D29" s="12" t="s">
        <v>150</v>
      </c>
      <c r="E29" s="12" t="s">
        <v>151</v>
      </c>
      <c r="F29" s="11" t="s">
        <v>133</v>
      </c>
      <c r="G29" s="13"/>
      <c r="H29" s="13"/>
      <c r="I29" s="13"/>
      <c r="J29" s="13"/>
      <c r="K29" s="13">
        <v>33.299999999999997</v>
      </c>
      <c r="L29" s="13">
        <v>66.7</v>
      </c>
      <c r="M29" s="13">
        <v>100</v>
      </c>
      <c r="N29" s="13">
        <v>100</v>
      </c>
      <c r="O29" s="13">
        <v>100</v>
      </c>
      <c r="P29" s="13">
        <v>100</v>
      </c>
      <c r="Q29" s="13">
        <v>100</v>
      </c>
      <c r="R29" s="13">
        <v>100</v>
      </c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5" t="s">
        <v>152</v>
      </c>
      <c r="AF29" s="15"/>
      <c r="AG29" s="16" t="s">
        <v>136</v>
      </c>
      <c r="AH29" s="17">
        <v>2.08</v>
      </c>
    </row>
    <row r="30" spans="1:34" ht="66" x14ac:dyDescent="0.2">
      <c r="A30" s="11" t="s">
        <v>153</v>
      </c>
      <c r="B30" s="11" t="s">
        <v>88</v>
      </c>
      <c r="C30" s="11" t="s">
        <v>130</v>
      </c>
      <c r="D30" s="12" t="s">
        <v>154</v>
      </c>
      <c r="E30" s="12" t="s">
        <v>155</v>
      </c>
      <c r="F30" s="11" t="s">
        <v>133</v>
      </c>
      <c r="G30" s="13"/>
      <c r="H30" s="13"/>
      <c r="I30" s="13"/>
      <c r="J30" s="13"/>
      <c r="K30" s="13"/>
      <c r="L30" s="13">
        <v>50</v>
      </c>
      <c r="M30" s="13">
        <v>100</v>
      </c>
      <c r="N30" s="13">
        <v>100</v>
      </c>
      <c r="O30" s="13">
        <v>100</v>
      </c>
      <c r="P30" s="13">
        <v>100</v>
      </c>
      <c r="Q30" s="13">
        <v>100</v>
      </c>
      <c r="R30" s="13">
        <v>100</v>
      </c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5" t="s">
        <v>156</v>
      </c>
      <c r="AF30" s="15"/>
      <c r="AG30" s="16" t="s">
        <v>136</v>
      </c>
      <c r="AH30" s="17">
        <v>2.08</v>
      </c>
    </row>
    <row r="31" spans="1:34" ht="66" x14ac:dyDescent="0.2">
      <c r="A31" s="11" t="s">
        <v>157</v>
      </c>
      <c r="B31" s="11" t="s">
        <v>88</v>
      </c>
      <c r="C31" s="11" t="s">
        <v>130</v>
      </c>
      <c r="D31" s="12" t="s">
        <v>158</v>
      </c>
      <c r="E31" s="12" t="s">
        <v>159</v>
      </c>
      <c r="F31" s="11" t="s">
        <v>133</v>
      </c>
      <c r="G31" s="13"/>
      <c r="H31" s="13"/>
      <c r="I31" s="13"/>
      <c r="J31" s="13"/>
      <c r="K31" s="13"/>
      <c r="L31" s="13">
        <v>40</v>
      </c>
      <c r="M31" s="13">
        <v>60</v>
      </c>
      <c r="N31" s="13">
        <v>80</v>
      </c>
      <c r="O31" s="13">
        <v>100</v>
      </c>
      <c r="P31" s="13">
        <v>100</v>
      </c>
      <c r="Q31" s="13">
        <v>100</v>
      </c>
      <c r="R31" s="13">
        <v>100</v>
      </c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5" t="s">
        <v>160</v>
      </c>
      <c r="AF31" s="15" t="s">
        <v>135</v>
      </c>
      <c r="AG31" s="16" t="s">
        <v>136</v>
      </c>
      <c r="AH31" s="17">
        <v>2.08</v>
      </c>
    </row>
    <row r="32" spans="1:34" ht="66" x14ac:dyDescent="0.2">
      <c r="A32" s="11" t="s">
        <v>161</v>
      </c>
      <c r="B32" s="11" t="s">
        <v>88</v>
      </c>
      <c r="C32" s="11" t="s">
        <v>162</v>
      </c>
      <c r="D32" s="12" t="s">
        <v>163</v>
      </c>
      <c r="E32" s="12" t="s">
        <v>164</v>
      </c>
      <c r="F32" s="11" t="s">
        <v>165</v>
      </c>
      <c r="G32" s="13">
        <v>5.3</v>
      </c>
      <c r="H32" s="13">
        <v>10.5</v>
      </c>
      <c r="I32" s="13">
        <v>15.8</v>
      </c>
      <c r="J32" s="13">
        <v>21.1</v>
      </c>
      <c r="K32" s="13">
        <v>31.6</v>
      </c>
      <c r="L32" s="13">
        <v>47.4</v>
      </c>
      <c r="M32" s="13">
        <v>63.2</v>
      </c>
      <c r="N32" s="13">
        <v>68.400000000000006</v>
      </c>
      <c r="O32" s="13">
        <v>73.7</v>
      </c>
      <c r="P32" s="13">
        <v>78.900000000000006</v>
      </c>
      <c r="Q32" s="13">
        <v>89.5</v>
      </c>
      <c r="R32" s="13">
        <v>100</v>
      </c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5" t="s">
        <v>166</v>
      </c>
      <c r="AF32" s="15"/>
      <c r="AG32" s="16" t="s">
        <v>165</v>
      </c>
      <c r="AH32" s="17">
        <v>2.08</v>
      </c>
    </row>
    <row r="33" spans="1:34" ht="44" x14ac:dyDescent="0.2">
      <c r="A33" s="11" t="s">
        <v>167</v>
      </c>
      <c r="B33" s="11" t="s">
        <v>88</v>
      </c>
      <c r="C33" s="11" t="s">
        <v>162</v>
      </c>
      <c r="D33" s="12" t="s">
        <v>168</v>
      </c>
      <c r="E33" s="12" t="s">
        <v>169</v>
      </c>
      <c r="F33" s="11" t="s">
        <v>165</v>
      </c>
      <c r="G33" s="13"/>
      <c r="H33" s="13"/>
      <c r="I33" s="13"/>
      <c r="J33" s="13"/>
      <c r="K33" s="13"/>
      <c r="L33" s="13">
        <v>33.299999999999997</v>
      </c>
      <c r="M33" s="13">
        <v>66.7</v>
      </c>
      <c r="N33" s="13">
        <v>100</v>
      </c>
      <c r="O33" s="13">
        <v>100</v>
      </c>
      <c r="P33" s="13">
        <v>100</v>
      </c>
      <c r="Q33" s="13">
        <v>100</v>
      </c>
      <c r="R33" s="13">
        <v>100</v>
      </c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5" t="s">
        <v>170</v>
      </c>
      <c r="AF33" s="15"/>
      <c r="AG33" s="16" t="s">
        <v>165</v>
      </c>
      <c r="AH33" s="17">
        <v>2.08</v>
      </c>
    </row>
    <row r="34" spans="1:34" ht="44" x14ac:dyDescent="0.2">
      <c r="A34" s="11" t="s">
        <v>171</v>
      </c>
      <c r="B34" s="11" t="s">
        <v>88</v>
      </c>
      <c r="C34" s="11" t="s">
        <v>162</v>
      </c>
      <c r="D34" s="12" t="s">
        <v>172</v>
      </c>
      <c r="E34" s="12" t="s">
        <v>173</v>
      </c>
      <c r="F34" s="11" t="s">
        <v>165</v>
      </c>
      <c r="G34" s="13"/>
      <c r="H34" s="13"/>
      <c r="I34" s="13"/>
      <c r="J34" s="13"/>
      <c r="K34" s="13"/>
      <c r="L34" s="13"/>
      <c r="M34" s="13">
        <v>20</v>
      </c>
      <c r="N34" s="13">
        <v>40</v>
      </c>
      <c r="O34" s="13">
        <v>80</v>
      </c>
      <c r="P34" s="13">
        <v>100</v>
      </c>
      <c r="Q34" s="13">
        <v>100</v>
      </c>
      <c r="R34" s="13">
        <v>100</v>
      </c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5"/>
      <c r="AF34" s="15"/>
      <c r="AG34" s="16" t="s">
        <v>165</v>
      </c>
      <c r="AH34" s="17">
        <v>2.08</v>
      </c>
    </row>
    <row r="35" spans="1:34" ht="66" x14ac:dyDescent="0.2">
      <c r="A35" s="11" t="s">
        <v>174</v>
      </c>
      <c r="B35" s="11" t="s">
        <v>88</v>
      </c>
      <c r="C35" s="11" t="s">
        <v>162</v>
      </c>
      <c r="D35" s="12" t="s">
        <v>175</v>
      </c>
      <c r="E35" s="12" t="s">
        <v>176</v>
      </c>
      <c r="F35" s="11" t="s">
        <v>165</v>
      </c>
      <c r="G35" s="13"/>
      <c r="H35" s="13"/>
      <c r="I35" s="13"/>
      <c r="J35" s="13"/>
      <c r="K35" s="13"/>
      <c r="L35" s="13"/>
      <c r="M35" s="13"/>
      <c r="N35" s="13">
        <v>14.3</v>
      </c>
      <c r="O35" s="13">
        <v>42.9</v>
      </c>
      <c r="P35" s="13">
        <v>71.400000000000006</v>
      </c>
      <c r="Q35" s="13">
        <v>100</v>
      </c>
      <c r="R35" s="13">
        <v>100</v>
      </c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5"/>
      <c r="AF35" s="15"/>
      <c r="AG35" s="16" t="s">
        <v>165</v>
      </c>
      <c r="AH35" s="17">
        <v>2.08</v>
      </c>
    </row>
    <row r="36" spans="1:34" ht="44" x14ac:dyDescent="0.2">
      <c r="A36" s="11" t="s">
        <v>177</v>
      </c>
      <c r="B36" s="11" t="s">
        <v>88</v>
      </c>
      <c r="C36" s="11" t="s">
        <v>162</v>
      </c>
      <c r="D36" s="12" t="s">
        <v>178</v>
      </c>
      <c r="E36" s="12" t="s">
        <v>179</v>
      </c>
      <c r="F36" s="11" t="s">
        <v>165</v>
      </c>
      <c r="G36" s="13"/>
      <c r="H36" s="13"/>
      <c r="I36" s="13"/>
      <c r="J36" s="13"/>
      <c r="K36" s="13"/>
      <c r="L36" s="13"/>
      <c r="M36" s="13"/>
      <c r="N36" s="13">
        <v>25</v>
      </c>
      <c r="O36" s="13">
        <v>50</v>
      </c>
      <c r="P36" s="13">
        <v>75</v>
      </c>
      <c r="Q36" s="13">
        <v>100</v>
      </c>
      <c r="R36" s="13">
        <v>100</v>
      </c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5"/>
      <c r="AF36" s="15"/>
      <c r="AG36" s="16" t="s">
        <v>165</v>
      </c>
      <c r="AH36" s="17">
        <v>2.08</v>
      </c>
    </row>
    <row r="37" spans="1:34" ht="44" x14ac:dyDescent="0.2">
      <c r="A37" s="11" t="s">
        <v>180</v>
      </c>
      <c r="B37" s="11" t="s">
        <v>88</v>
      </c>
      <c r="C37" s="11" t="s">
        <v>162</v>
      </c>
      <c r="D37" s="12" t="s">
        <v>181</v>
      </c>
      <c r="E37" s="12" t="s">
        <v>182</v>
      </c>
      <c r="F37" s="11" t="s">
        <v>165</v>
      </c>
      <c r="G37" s="13">
        <v>7.1</v>
      </c>
      <c r="H37" s="13">
        <v>14.3</v>
      </c>
      <c r="I37" s="13">
        <v>21.4</v>
      </c>
      <c r="J37" s="13">
        <v>32.1</v>
      </c>
      <c r="K37" s="13">
        <v>39.299999999999997</v>
      </c>
      <c r="L37" s="13">
        <v>46.4</v>
      </c>
      <c r="M37" s="13">
        <v>57.1</v>
      </c>
      <c r="N37" s="13">
        <v>64.3</v>
      </c>
      <c r="O37" s="13">
        <v>71.400000000000006</v>
      </c>
      <c r="P37" s="13">
        <v>82.1</v>
      </c>
      <c r="Q37" s="13">
        <v>89.3</v>
      </c>
      <c r="R37" s="13">
        <v>100</v>
      </c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5" t="s">
        <v>183</v>
      </c>
      <c r="AF37" s="15"/>
      <c r="AG37" s="16" t="s">
        <v>165</v>
      </c>
      <c r="AH37" s="17">
        <v>2.08</v>
      </c>
    </row>
    <row r="38" spans="1:34" ht="44" x14ac:dyDescent="0.2">
      <c r="A38" s="11" t="s">
        <v>184</v>
      </c>
      <c r="B38" s="11" t="s">
        <v>88</v>
      </c>
      <c r="C38" s="11" t="s">
        <v>162</v>
      </c>
      <c r="D38" s="12" t="s">
        <v>185</v>
      </c>
      <c r="E38" s="12" t="s">
        <v>186</v>
      </c>
      <c r="F38" s="11" t="s">
        <v>165</v>
      </c>
      <c r="G38" s="13">
        <v>8.3000000000000007</v>
      </c>
      <c r="H38" s="13">
        <v>16.7</v>
      </c>
      <c r="I38" s="13">
        <v>25</v>
      </c>
      <c r="J38" s="13">
        <v>33.299999999999997</v>
      </c>
      <c r="K38" s="13">
        <v>41.7</v>
      </c>
      <c r="L38" s="13">
        <v>50</v>
      </c>
      <c r="M38" s="13">
        <v>58.3</v>
      </c>
      <c r="N38" s="13">
        <v>66.7</v>
      </c>
      <c r="O38" s="13">
        <v>75</v>
      </c>
      <c r="P38" s="13">
        <v>83.3</v>
      </c>
      <c r="Q38" s="13">
        <v>91.7</v>
      </c>
      <c r="R38" s="13">
        <v>100</v>
      </c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5" t="s">
        <v>187</v>
      </c>
      <c r="AF38" s="15"/>
      <c r="AG38" s="16" t="s">
        <v>165</v>
      </c>
      <c r="AH38" s="17">
        <v>2.08</v>
      </c>
    </row>
    <row r="39" spans="1:34" ht="44" x14ac:dyDescent="0.2">
      <c r="A39" s="11" t="s">
        <v>188</v>
      </c>
      <c r="B39" s="11" t="s">
        <v>88</v>
      </c>
      <c r="C39" s="11" t="s">
        <v>162</v>
      </c>
      <c r="D39" s="12" t="s">
        <v>189</v>
      </c>
      <c r="E39" s="12" t="s">
        <v>190</v>
      </c>
      <c r="F39" s="11" t="s">
        <v>165</v>
      </c>
      <c r="G39" s="13"/>
      <c r="H39" s="13"/>
      <c r="I39" s="13"/>
      <c r="J39" s="13"/>
      <c r="K39" s="13"/>
      <c r="L39" s="13"/>
      <c r="M39" s="13"/>
      <c r="N39" s="13"/>
      <c r="O39" s="13"/>
      <c r="P39" s="13">
        <v>42.9</v>
      </c>
      <c r="Q39" s="13">
        <v>85.7</v>
      </c>
      <c r="R39" s="13">
        <v>142.9</v>
      </c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5"/>
      <c r="AF39" s="15"/>
      <c r="AG39" s="16" t="s">
        <v>165</v>
      </c>
      <c r="AH39" s="17">
        <v>2.08</v>
      </c>
    </row>
    <row r="40" spans="1:34" ht="44" x14ac:dyDescent="0.2">
      <c r="A40" s="11" t="s">
        <v>191</v>
      </c>
      <c r="B40" s="11" t="s">
        <v>88</v>
      </c>
      <c r="C40" s="11" t="s">
        <v>192</v>
      </c>
      <c r="D40" s="12" t="s">
        <v>193</v>
      </c>
      <c r="E40" s="12" t="s">
        <v>194</v>
      </c>
      <c r="F40" s="11" t="s">
        <v>165</v>
      </c>
      <c r="G40" s="13">
        <v>6.7</v>
      </c>
      <c r="H40" s="13">
        <v>13.3</v>
      </c>
      <c r="I40" s="13">
        <v>26.7</v>
      </c>
      <c r="J40" s="13">
        <v>33.299999999999997</v>
      </c>
      <c r="K40" s="13">
        <v>46.7</v>
      </c>
      <c r="L40" s="13">
        <v>53.3</v>
      </c>
      <c r="M40" s="13">
        <v>66.7</v>
      </c>
      <c r="N40" s="13">
        <v>73.3</v>
      </c>
      <c r="O40" s="13">
        <v>80</v>
      </c>
      <c r="P40" s="13">
        <v>86.7</v>
      </c>
      <c r="Q40" s="13">
        <v>93.3</v>
      </c>
      <c r="R40" s="13">
        <v>100</v>
      </c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5" t="s">
        <v>195</v>
      </c>
      <c r="AF40" s="15"/>
      <c r="AG40" s="16" t="s">
        <v>165</v>
      </c>
      <c r="AH40" s="17">
        <v>2.08</v>
      </c>
    </row>
    <row r="41" spans="1:34" ht="44" x14ac:dyDescent="0.2">
      <c r="A41" s="11" t="s">
        <v>196</v>
      </c>
      <c r="B41" s="11" t="s">
        <v>88</v>
      </c>
      <c r="C41" s="11" t="s">
        <v>192</v>
      </c>
      <c r="D41" s="12" t="s">
        <v>197</v>
      </c>
      <c r="E41" s="12" t="s">
        <v>198</v>
      </c>
      <c r="F41" s="11" t="s">
        <v>165</v>
      </c>
      <c r="G41" s="13"/>
      <c r="H41" s="13"/>
      <c r="I41" s="13">
        <v>5</v>
      </c>
      <c r="J41" s="13">
        <v>20</v>
      </c>
      <c r="K41" s="13">
        <v>30</v>
      </c>
      <c r="L41" s="13">
        <v>40</v>
      </c>
      <c r="M41" s="13">
        <v>50</v>
      </c>
      <c r="N41" s="13">
        <v>60</v>
      </c>
      <c r="O41" s="13">
        <v>70</v>
      </c>
      <c r="P41" s="13">
        <v>80</v>
      </c>
      <c r="Q41" s="13">
        <v>90</v>
      </c>
      <c r="R41" s="13">
        <v>100</v>
      </c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5" t="s">
        <v>199</v>
      </c>
      <c r="AF41" s="15"/>
      <c r="AG41" s="16" t="s">
        <v>165</v>
      </c>
      <c r="AH41" s="17">
        <v>2.08</v>
      </c>
    </row>
    <row r="42" spans="1:34" ht="44" x14ac:dyDescent="0.2">
      <c r="A42" s="11" t="s">
        <v>200</v>
      </c>
      <c r="B42" s="11" t="s">
        <v>88</v>
      </c>
      <c r="C42" s="11" t="s">
        <v>192</v>
      </c>
      <c r="D42" s="12" t="s">
        <v>201</v>
      </c>
      <c r="E42" s="12" t="s">
        <v>202</v>
      </c>
      <c r="F42" s="11" t="s">
        <v>165</v>
      </c>
      <c r="G42" s="13"/>
      <c r="H42" s="13"/>
      <c r="I42" s="13">
        <v>16.7</v>
      </c>
      <c r="J42" s="13">
        <v>33.299999999999997</v>
      </c>
      <c r="K42" s="13">
        <v>41.7</v>
      </c>
      <c r="L42" s="13">
        <v>50</v>
      </c>
      <c r="M42" s="13">
        <v>58.3</v>
      </c>
      <c r="N42" s="13">
        <v>66.7</v>
      </c>
      <c r="O42" s="13">
        <v>75</v>
      </c>
      <c r="P42" s="13">
        <v>83.3</v>
      </c>
      <c r="Q42" s="13">
        <v>91.7</v>
      </c>
      <c r="R42" s="13">
        <v>100</v>
      </c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5" t="s">
        <v>203</v>
      </c>
      <c r="AF42" s="15"/>
      <c r="AG42" s="16" t="s">
        <v>165</v>
      </c>
      <c r="AH42" s="17">
        <v>2.08</v>
      </c>
    </row>
    <row r="43" spans="1:34" ht="44" x14ac:dyDescent="0.2">
      <c r="A43" s="11" t="s">
        <v>204</v>
      </c>
      <c r="B43" s="11" t="s">
        <v>88</v>
      </c>
      <c r="C43" s="11" t="s">
        <v>192</v>
      </c>
      <c r="D43" s="12" t="s">
        <v>205</v>
      </c>
      <c r="E43" s="12" t="s">
        <v>206</v>
      </c>
      <c r="F43" s="11" t="s">
        <v>165</v>
      </c>
      <c r="G43" s="13">
        <v>3.2</v>
      </c>
      <c r="H43" s="13">
        <v>12.9</v>
      </c>
      <c r="I43" s="13">
        <v>22.6</v>
      </c>
      <c r="J43" s="13">
        <v>32.299999999999997</v>
      </c>
      <c r="K43" s="13">
        <v>41.9</v>
      </c>
      <c r="L43" s="13">
        <v>51.6</v>
      </c>
      <c r="M43" s="13">
        <v>61.3</v>
      </c>
      <c r="N43" s="13">
        <v>71</v>
      </c>
      <c r="O43" s="13">
        <v>80.599999999999994</v>
      </c>
      <c r="P43" s="13">
        <v>90.3</v>
      </c>
      <c r="Q43" s="13">
        <v>100</v>
      </c>
      <c r="R43" s="13">
        <v>100</v>
      </c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5" t="s">
        <v>207</v>
      </c>
      <c r="AF43" s="15"/>
      <c r="AG43" s="16" t="s">
        <v>165</v>
      </c>
      <c r="AH43" s="17">
        <v>2.08</v>
      </c>
    </row>
    <row r="44" spans="1:34" ht="66" x14ac:dyDescent="0.2">
      <c r="A44" s="11" t="s">
        <v>208</v>
      </c>
      <c r="B44" s="11" t="s">
        <v>88</v>
      </c>
      <c r="C44" s="11" t="s">
        <v>192</v>
      </c>
      <c r="D44" s="12" t="s">
        <v>209</v>
      </c>
      <c r="E44" s="12" t="s">
        <v>210</v>
      </c>
      <c r="F44" s="11" t="s">
        <v>165</v>
      </c>
      <c r="G44" s="13"/>
      <c r="H44" s="13"/>
      <c r="I44" s="13"/>
      <c r="J44" s="13"/>
      <c r="K44" s="13"/>
      <c r="L44" s="13"/>
      <c r="M44" s="13"/>
      <c r="N44" s="13"/>
      <c r="O44" s="13"/>
      <c r="P44" s="13">
        <v>50</v>
      </c>
      <c r="Q44" s="13">
        <v>80</v>
      </c>
      <c r="R44" s="13">
        <v>100</v>
      </c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5"/>
      <c r="AF44" s="15"/>
      <c r="AG44" s="16" t="s">
        <v>165</v>
      </c>
      <c r="AH44" s="17">
        <v>2.08</v>
      </c>
    </row>
    <row r="45" spans="1:34" ht="44" x14ac:dyDescent="0.2">
      <c r="A45" s="11" t="s">
        <v>211</v>
      </c>
      <c r="B45" s="11" t="s">
        <v>212</v>
      </c>
      <c r="C45" s="11" t="s">
        <v>213</v>
      </c>
      <c r="D45" s="12" t="s">
        <v>213</v>
      </c>
      <c r="E45" s="12" t="s">
        <v>214</v>
      </c>
      <c r="F45" s="11"/>
      <c r="G45" s="13">
        <v>8.3000000000000007</v>
      </c>
      <c r="H45" s="13">
        <v>16.7</v>
      </c>
      <c r="I45" s="13">
        <v>25</v>
      </c>
      <c r="J45" s="13">
        <v>33.299999999999997</v>
      </c>
      <c r="K45" s="13">
        <v>41.7</v>
      </c>
      <c r="L45" s="13">
        <v>50</v>
      </c>
      <c r="M45" s="13">
        <v>58.3</v>
      </c>
      <c r="N45" s="13">
        <v>66.7</v>
      </c>
      <c r="O45" s="13">
        <v>75</v>
      </c>
      <c r="P45" s="13">
        <v>83.3</v>
      </c>
      <c r="Q45" s="13">
        <v>91.7</v>
      </c>
      <c r="R45" s="13">
        <v>100</v>
      </c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5" t="s">
        <v>215</v>
      </c>
      <c r="AF45" s="15"/>
      <c r="AG45" s="16" t="s">
        <v>39</v>
      </c>
      <c r="AH45" s="17">
        <v>2.08</v>
      </c>
    </row>
    <row r="46" spans="1:34" ht="44" x14ac:dyDescent="0.2">
      <c r="A46" s="11" t="s">
        <v>216</v>
      </c>
      <c r="B46" s="11" t="s">
        <v>212</v>
      </c>
      <c r="C46" s="11" t="s">
        <v>217</v>
      </c>
      <c r="D46" s="12" t="s">
        <v>217</v>
      </c>
      <c r="E46" s="12" t="s">
        <v>218</v>
      </c>
      <c r="F46" s="11"/>
      <c r="G46" s="13">
        <v>8.3000000000000007</v>
      </c>
      <c r="H46" s="13">
        <v>16.7</v>
      </c>
      <c r="I46" s="13">
        <v>25</v>
      </c>
      <c r="J46" s="13">
        <v>33.299999999999997</v>
      </c>
      <c r="K46" s="13">
        <v>41.7</v>
      </c>
      <c r="L46" s="13">
        <v>50</v>
      </c>
      <c r="M46" s="13">
        <v>58.3</v>
      </c>
      <c r="N46" s="13">
        <v>66.7</v>
      </c>
      <c r="O46" s="13">
        <v>75</v>
      </c>
      <c r="P46" s="13">
        <v>83.3</v>
      </c>
      <c r="Q46" s="13">
        <v>91.7</v>
      </c>
      <c r="R46" s="13">
        <v>100</v>
      </c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5" t="s">
        <v>219</v>
      </c>
      <c r="AF46" s="15"/>
      <c r="AG46" s="16" t="s">
        <v>39</v>
      </c>
      <c r="AH46" s="17">
        <v>2.08</v>
      </c>
    </row>
    <row r="47" spans="1:34" ht="110" x14ac:dyDescent="0.2">
      <c r="A47" s="11" t="s">
        <v>220</v>
      </c>
      <c r="B47" s="11" t="s">
        <v>212</v>
      </c>
      <c r="C47" s="11" t="s">
        <v>221</v>
      </c>
      <c r="D47" s="12" t="s">
        <v>221</v>
      </c>
      <c r="E47" s="12" t="s">
        <v>222</v>
      </c>
      <c r="F47" s="11"/>
      <c r="G47" s="13">
        <v>8.3000000000000007</v>
      </c>
      <c r="H47" s="13">
        <v>16.7</v>
      </c>
      <c r="I47" s="13">
        <v>25</v>
      </c>
      <c r="J47" s="13">
        <v>33.299999999999997</v>
      </c>
      <c r="K47" s="13">
        <v>41.7</v>
      </c>
      <c r="L47" s="13">
        <v>50</v>
      </c>
      <c r="M47" s="13">
        <v>58.3</v>
      </c>
      <c r="N47" s="13">
        <v>66.7</v>
      </c>
      <c r="O47" s="13">
        <v>75</v>
      </c>
      <c r="P47" s="13">
        <v>83.3</v>
      </c>
      <c r="Q47" s="13">
        <v>91.7</v>
      </c>
      <c r="R47" s="13">
        <v>100</v>
      </c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5" t="s">
        <v>223</v>
      </c>
      <c r="AF47" s="15" t="s">
        <v>135</v>
      </c>
      <c r="AG47" s="16" t="s">
        <v>39</v>
      </c>
      <c r="AH47" s="17">
        <v>2.08</v>
      </c>
    </row>
    <row r="48" spans="1:34" ht="44" x14ac:dyDescent="0.2">
      <c r="A48" s="11" t="s">
        <v>224</v>
      </c>
      <c r="B48" s="11" t="s">
        <v>212</v>
      </c>
      <c r="C48" s="11" t="s">
        <v>225</v>
      </c>
      <c r="D48" s="12" t="s">
        <v>225</v>
      </c>
      <c r="E48" s="12" t="s">
        <v>226</v>
      </c>
      <c r="F48" s="11"/>
      <c r="G48" s="13">
        <v>8.3000000000000007</v>
      </c>
      <c r="H48" s="13">
        <v>16.7</v>
      </c>
      <c r="I48" s="13">
        <v>25</v>
      </c>
      <c r="J48" s="13">
        <v>33.299999999999997</v>
      </c>
      <c r="K48" s="13">
        <v>41.7</v>
      </c>
      <c r="L48" s="13">
        <v>50</v>
      </c>
      <c r="M48" s="13">
        <v>58.3</v>
      </c>
      <c r="N48" s="13">
        <v>66.7</v>
      </c>
      <c r="O48" s="13">
        <v>75</v>
      </c>
      <c r="P48" s="13">
        <v>83.3</v>
      </c>
      <c r="Q48" s="13">
        <v>91.7</v>
      </c>
      <c r="R48" s="13">
        <v>100</v>
      </c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5" t="s">
        <v>227</v>
      </c>
      <c r="AF48" s="15"/>
      <c r="AG48" s="16" t="s">
        <v>39</v>
      </c>
      <c r="AH48" s="17">
        <v>2.08</v>
      </c>
    </row>
    <row r="49" spans="1:34" ht="66" x14ac:dyDescent="0.2">
      <c r="A49" s="11" t="s">
        <v>228</v>
      </c>
      <c r="B49" s="11" t="s">
        <v>212</v>
      </c>
      <c r="C49" s="11" t="s">
        <v>229</v>
      </c>
      <c r="D49" s="12" t="s">
        <v>229</v>
      </c>
      <c r="E49" s="12" t="s">
        <v>230</v>
      </c>
      <c r="F49" s="11"/>
      <c r="G49" s="13">
        <v>8.3000000000000007</v>
      </c>
      <c r="H49" s="13">
        <v>16.7</v>
      </c>
      <c r="I49" s="13">
        <v>25</v>
      </c>
      <c r="J49" s="13">
        <v>33.299999999999997</v>
      </c>
      <c r="K49" s="13">
        <v>41.7</v>
      </c>
      <c r="L49" s="13">
        <v>50</v>
      </c>
      <c r="M49" s="13">
        <v>58.3</v>
      </c>
      <c r="N49" s="13">
        <v>66.7</v>
      </c>
      <c r="O49" s="13">
        <v>75</v>
      </c>
      <c r="P49" s="13">
        <v>83.3</v>
      </c>
      <c r="Q49" s="13">
        <v>91.7</v>
      </c>
      <c r="R49" s="13">
        <v>100</v>
      </c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 t="s">
        <v>231</v>
      </c>
      <c r="AF49" s="15"/>
      <c r="AG49" s="16" t="s">
        <v>39</v>
      </c>
      <c r="AH49" s="17">
        <v>2.08</v>
      </c>
    </row>
  </sheetData>
  <dataValidations count="1">
    <dataValidation type="whole" allowBlank="1" sqref="G2:AD49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7" t="s">
        <v>232</v>
      </c>
      <c r="B1" s="8"/>
    </row>
    <row r="2" spans="1:2" x14ac:dyDescent="0.2">
      <c r="A2" s="9"/>
      <c r="B2" s="8"/>
    </row>
    <row r="3" spans="1:2" ht="32" x14ac:dyDescent="0.2">
      <c r="A3" s="9" t="s">
        <v>233</v>
      </c>
      <c r="B3" s="8" t="s">
        <v>234</v>
      </c>
    </row>
    <row r="4" spans="1:2" ht="16" x14ac:dyDescent="0.2">
      <c r="A4" s="9" t="s">
        <v>235</v>
      </c>
      <c r="B4" s="8" t="s">
        <v>236</v>
      </c>
    </row>
    <row r="5" spans="1:2" ht="16" x14ac:dyDescent="0.2">
      <c r="A5" s="9" t="s">
        <v>237</v>
      </c>
      <c r="B5" s="8" t="s">
        <v>238</v>
      </c>
    </row>
    <row r="6" spans="1:2" ht="16" x14ac:dyDescent="0.2">
      <c r="A6" s="9"/>
      <c r="B6" s="8" t="s">
        <v>239</v>
      </c>
    </row>
    <row r="7" spans="1:2" ht="16" x14ac:dyDescent="0.2">
      <c r="A7" s="9" t="s">
        <v>240</v>
      </c>
      <c r="B7" s="8" t="s">
        <v>241</v>
      </c>
    </row>
    <row r="8" spans="1:2" x14ac:dyDescent="0.2">
      <c r="A8" s="9"/>
      <c r="B8" s="8"/>
    </row>
    <row r="9" spans="1:2" ht="17" x14ac:dyDescent="0.2">
      <c r="A9" s="7" t="s">
        <v>242</v>
      </c>
      <c r="B9" s="8"/>
    </row>
    <row r="10" spans="1:2" ht="16" x14ac:dyDescent="0.2">
      <c r="A10" s="9" t="s">
        <v>243</v>
      </c>
      <c r="B10" s="8" t="s">
        <v>244</v>
      </c>
    </row>
    <row r="11" spans="1:2" ht="16" x14ac:dyDescent="0.2">
      <c r="A11" s="9" t="s">
        <v>245</v>
      </c>
      <c r="B11" s="8" t="s">
        <v>246</v>
      </c>
    </row>
    <row r="12" spans="1:2" x14ac:dyDescent="0.2">
      <c r="A12" s="9"/>
      <c r="B12" s="8"/>
    </row>
    <row r="13" spans="1:2" ht="32" x14ac:dyDescent="0.2">
      <c r="A13" s="9" t="s">
        <v>247</v>
      </c>
      <c r="B13" s="8" t="s">
        <v>248</v>
      </c>
    </row>
    <row r="14" spans="1:2" ht="32" x14ac:dyDescent="0.2">
      <c r="A14" s="9"/>
      <c r="B14" s="8" t="s">
        <v>249</v>
      </c>
    </row>
    <row r="15" spans="1:2" ht="32" x14ac:dyDescent="0.2">
      <c r="A15" s="9"/>
      <c r="B15" s="8" t="s">
        <v>250</v>
      </c>
    </row>
    <row r="16" spans="1:2" ht="16" x14ac:dyDescent="0.2">
      <c r="A16" s="9"/>
      <c r="B16" s="8" t="s">
        <v>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5" customWidth="1"/>
    <col min="2" max="2" width="8" customWidth="1"/>
    <col min="3" max="3" width="42" customWidth="1"/>
    <col min="4" max="4" width="8" customWidth="1"/>
    <col min="5" max="16" width="40" customWidth="1"/>
  </cols>
  <sheetData>
    <row r="1" spans="1:16" ht="22" customHeight="1" x14ac:dyDescent="0.2">
      <c r="A1" s="1" t="s">
        <v>0</v>
      </c>
      <c r="B1" s="1" t="s">
        <v>3</v>
      </c>
      <c r="C1" s="1" t="s">
        <v>252</v>
      </c>
      <c r="D1" s="1" t="s">
        <v>1</v>
      </c>
      <c r="E1" s="1" t="s">
        <v>253</v>
      </c>
      <c r="F1" s="1" t="s">
        <v>254</v>
      </c>
      <c r="G1" s="1" t="s">
        <v>255</v>
      </c>
      <c r="H1" s="1" t="s">
        <v>256</v>
      </c>
      <c r="I1" s="1" t="s">
        <v>257</v>
      </c>
      <c r="J1" s="1" t="s">
        <v>258</v>
      </c>
      <c r="K1" s="1" t="s">
        <v>259</v>
      </c>
      <c r="L1" s="1" t="s">
        <v>260</v>
      </c>
      <c r="M1" s="1" t="s">
        <v>261</v>
      </c>
      <c r="N1" s="1" t="s">
        <v>262</v>
      </c>
      <c r="O1" s="1" t="s">
        <v>263</v>
      </c>
      <c r="P1" s="1" t="s">
        <v>264</v>
      </c>
    </row>
    <row r="2" spans="1:16" ht="32" x14ac:dyDescent="0.2">
      <c r="A2" s="5" t="s">
        <v>34</v>
      </c>
      <c r="B2" s="5" t="s">
        <v>36</v>
      </c>
      <c r="C2" s="5" t="s">
        <v>37</v>
      </c>
      <c r="D2" s="5" t="s">
        <v>35</v>
      </c>
      <c r="E2" s="6" t="s">
        <v>265</v>
      </c>
      <c r="F2" s="6" t="s">
        <v>266</v>
      </c>
      <c r="G2" s="6" t="s">
        <v>267</v>
      </c>
      <c r="H2" s="6" t="s">
        <v>268</v>
      </c>
      <c r="I2" s="6" t="s">
        <v>269</v>
      </c>
      <c r="J2" s="6" t="s">
        <v>270</v>
      </c>
      <c r="K2" s="6"/>
      <c r="L2" s="6"/>
      <c r="M2" s="6"/>
      <c r="N2" s="6"/>
      <c r="O2" s="6"/>
      <c r="P2" s="6"/>
    </row>
    <row r="3" spans="1:16" ht="48" x14ac:dyDescent="0.2">
      <c r="A3" s="5" t="s">
        <v>40</v>
      </c>
      <c r="B3" s="5" t="s">
        <v>41</v>
      </c>
      <c r="C3" s="5" t="s">
        <v>42</v>
      </c>
      <c r="D3" s="5" t="s">
        <v>35</v>
      </c>
      <c r="E3" s="6" t="s">
        <v>271</v>
      </c>
      <c r="F3" s="6" t="s">
        <v>272</v>
      </c>
      <c r="G3" s="6" t="s">
        <v>273</v>
      </c>
      <c r="H3" s="6" t="s">
        <v>274</v>
      </c>
      <c r="I3" s="6" t="s">
        <v>275</v>
      </c>
      <c r="J3" s="6" t="s">
        <v>276</v>
      </c>
      <c r="K3" s="6"/>
      <c r="L3" s="6"/>
      <c r="M3" s="6"/>
      <c r="N3" s="6"/>
      <c r="O3" s="6"/>
      <c r="P3" s="6"/>
    </row>
    <row r="4" spans="1:16" ht="32" x14ac:dyDescent="0.2">
      <c r="A4" s="5" t="s">
        <v>44</v>
      </c>
      <c r="B4" s="5" t="s">
        <v>45</v>
      </c>
      <c r="C4" s="5" t="s">
        <v>46</v>
      </c>
      <c r="D4" s="5" t="s">
        <v>35</v>
      </c>
      <c r="E4" s="6" t="s">
        <v>277</v>
      </c>
      <c r="F4" s="6" t="s">
        <v>278</v>
      </c>
      <c r="G4" s="6" t="s">
        <v>279</v>
      </c>
      <c r="H4" s="6" t="s">
        <v>280</v>
      </c>
      <c r="I4" s="6" t="s">
        <v>281</v>
      </c>
      <c r="J4" s="6" t="s">
        <v>282</v>
      </c>
      <c r="K4" s="6"/>
      <c r="L4" s="6"/>
      <c r="M4" s="6"/>
      <c r="N4" s="6"/>
      <c r="O4" s="6"/>
      <c r="P4" s="6"/>
    </row>
    <row r="5" spans="1:16" ht="32" x14ac:dyDescent="0.2">
      <c r="A5" s="5" t="s">
        <v>48</v>
      </c>
      <c r="B5" s="5" t="s">
        <v>49</v>
      </c>
      <c r="C5" s="5" t="s">
        <v>50</v>
      </c>
      <c r="D5" s="5" t="s">
        <v>35</v>
      </c>
      <c r="E5" s="6"/>
      <c r="F5" s="6"/>
      <c r="G5" s="6"/>
      <c r="H5" s="6" t="s">
        <v>283</v>
      </c>
      <c r="I5" s="6" t="s">
        <v>284</v>
      </c>
      <c r="J5" s="6" t="s">
        <v>285</v>
      </c>
      <c r="K5" s="6"/>
      <c r="L5" s="6"/>
      <c r="M5" s="6"/>
      <c r="N5" s="6"/>
      <c r="O5" s="6"/>
      <c r="P5" s="6"/>
    </row>
    <row r="6" spans="1:16" ht="32" x14ac:dyDescent="0.2">
      <c r="A6" s="5" t="s">
        <v>52</v>
      </c>
      <c r="B6" s="5" t="s">
        <v>53</v>
      </c>
      <c r="C6" s="5" t="s">
        <v>54</v>
      </c>
      <c r="D6" s="5" t="s">
        <v>35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ht="48" x14ac:dyDescent="0.2">
      <c r="A7" s="5" t="s">
        <v>55</v>
      </c>
      <c r="B7" s="5" t="s">
        <v>56</v>
      </c>
      <c r="C7" s="5" t="s">
        <v>57</v>
      </c>
      <c r="D7" s="5" t="s">
        <v>35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ht="32" x14ac:dyDescent="0.2">
      <c r="A8" s="5" t="s">
        <v>58</v>
      </c>
      <c r="B8" s="5" t="s">
        <v>59</v>
      </c>
      <c r="C8" s="5" t="s">
        <v>60</v>
      </c>
      <c r="D8" s="5" t="s">
        <v>35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</row>
    <row r="9" spans="1:16" ht="48" x14ac:dyDescent="0.2">
      <c r="A9" s="5" t="s">
        <v>61</v>
      </c>
      <c r="B9" s="5" t="s">
        <v>62</v>
      </c>
      <c r="C9" s="5" t="s">
        <v>63</v>
      </c>
      <c r="D9" s="5" t="s">
        <v>35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</row>
    <row r="10" spans="1:16" ht="48" x14ac:dyDescent="0.2">
      <c r="A10" s="5" t="s">
        <v>64</v>
      </c>
      <c r="B10" s="5" t="s">
        <v>65</v>
      </c>
      <c r="C10" s="5" t="s">
        <v>66</v>
      </c>
      <c r="D10" s="5" t="s">
        <v>35</v>
      </c>
      <c r="E10" s="6" t="s">
        <v>286</v>
      </c>
      <c r="F10" s="6" t="s">
        <v>287</v>
      </c>
      <c r="G10" s="6" t="s">
        <v>288</v>
      </c>
      <c r="H10" s="6" t="s">
        <v>289</v>
      </c>
      <c r="I10" s="6" t="s">
        <v>290</v>
      </c>
      <c r="J10" s="6" t="s">
        <v>291</v>
      </c>
      <c r="K10" s="6"/>
      <c r="L10" s="6"/>
      <c r="M10" s="6"/>
      <c r="N10" s="6"/>
      <c r="O10" s="6"/>
      <c r="P10" s="6"/>
    </row>
    <row r="11" spans="1:16" ht="32" x14ac:dyDescent="0.2">
      <c r="A11" s="5" t="s">
        <v>68</v>
      </c>
      <c r="B11" s="5" t="s">
        <v>69</v>
      </c>
      <c r="C11" s="5" t="s">
        <v>70</v>
      </c>
      <c r="D11" s="5" t="s">
        <v>35</v>
      </c>
      <c r="E11" s="6"/>
      <c r="F11" s="6"/>
      <c r="G11" s="6"/>
      <c r="H11" s="6" t="s">
        <v>292</v>
      </c>
      <c r="I11" s="6" t="s">
        <v>293</v>
      </c>
      <c r="J11" s="6" t="s">
        <v>294</v>
      </c>
      <c r="K11" s="6"/>
      <c r="L11" s="6"/>
      <c r="M11" s="6"/>
      <c r="N11" s="6"/>
      <c r="O11" s="6"/>
      <c r="P11" s="6"/>
    </row>
    <row r="12" spans="1:16" ht="16" x14ac:dyDescent="0.2">
      <c r="A12" s="5" t="s">
        <v>72</v>
      </c>
      <c r="B12" s="5" t="s">
        <v>73</v>
      </c>
      <c r="C12" s="5" t="s">
        <v>74</v>
      </c>
      <c r="D12" s="5" t="s">
        <v>35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spans="1:16" ht="48" x14ac:dyDescent="0.2">
      <c r="A13" s="5" t="s">
        <v>75</v>
      </c>
      <c r="B13" s="5" t="s">
        <v>76</v>
      </c>
      <c r="C13" s="5" t="s">
        <v>77</v>
      </c>
      <c r="D13" s="5" t="s">
        <v>35</v>
      </c>
      <c r="E13" s="6" t="s">
        <v>295</v>
      </c>
      <c r="F13" s="6" t="s">
        <v>296</v>
      </c>
      <c r="G13" s="6" t="s">
        <v>297</v>
      </c>
      <c r="H13" s="6" t="s">
        <v>298</v>
      </c>
      <c r="I13" s="6" t="s">
        <v>299</v>
      </c>
      <c r="J13" s="6" t="s">
        <v>300</v>
      </c>
      <c r="K13" s="6"/>
      <c r="L13" s="6"/>
      <c r="M13" s="6"/>
      <c r="N13" s="6"/>
      <c r="O13" s="6"/>
      <c r="P13" s="6"/>
    </row>
    <row r="14" spans="1:16" ht="48" x14ac:dyDescent="0.2">
      <c r="A14" s="5" t="s">
        <v>79</v>
      </c>
      <c r="B14" s="5" t="s">
        <v>80</v>
      </c>
      <c r="C14" s="5" t="s">
        <v>81</v>
      </c>
      <c r="D14" s="5" t="s">
        <v>35</v>
      </c>
      <c r="E14" s="6" t="s">
        <v>301</v>
      </c>
      <c r="F14" s="6" t="s">
        <v>302</v>
      </c>
      <c r="G14" s="6" t="s">
        <v>303</v>
      </c>
      <c r="H14" s="6" t="s">
        <v>304</v>
      </c>
      <c r="I14" s="6" t="s">
        <v>305</v>
      </c>
      <c r="J14" s="6" t="s">
        <v>306</v>
      </c>
      <c r="K14" s="6"/>
      <c r="L14" s="6"/>
      <c r="M14" s="6"/>
      <c r="N14" s="6"/>
      <c r="O14" s="6"/>
      <c r="P14" s="6"/>
    </row>
    <row r="15" spans="1:16" ht="48" x14ac:dyDescent="0.2">
      <c r="A15" s="5" t="s">
        <v>83</v>
      </c>
      <c r="B15" s="5" t="s">
        <v>84</v>
      </c>
      <c r="C15" s="5" t="s">
        <v>85</v>
      </c>
      <c r="D15" s="5" t="s">
        <v>35</v>
      </c>
      <c r="E15" s="6" t="s">
        <v>307</v>
      </c>
      <c r="F15" s="6" t="s">
        <v>308</v>
      </c>
      <c r="G15" s="6" t="s">
        <v>309</v>
      </c>
      <c r="H15" s="6" t="s">
        <v>310</v>
      </c>
      <c r="I15" s="6" t="s">
        <v>311</v>
      </c>
      <c r="J15" s="6" t="s">
        <v>312</v>
      </c>
      <c r="K15" s="6"/>
      <c r="L15" s="6"/>
      <c r="M15" s="6"/>
      <c r="N15" s="6"/>
      <c r="O15" s="6"/>
      <c r="P15" s="6"/>
    </row>
    <row r="16" spans="1:16" ht="16" x14ac:dyDescent="0.2">
      <c r="A16" s="5" t="s">
        <v>87</v>
      </c>
      <c r="B16" s="5" t="s">
        <v>90</v>
      </c>
      <c r="C16" s="5" t="s">
        <v>91</v>
      </c>
      <c r="D16" s="5" t="s">
        <v>88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ht="48" x14ac:dyDescent="0.2">
      <c r="A17" s="5" t="s">
        <v>94</v>
      </c>
      <c r="B17" s="5" t="s">
        <v>95</v>
      </c>
      <c r="C17" s="5" t="s">
        <v>96</v>
      </c>
      <c r="D17" s="5" t="s">
        <v>88</v>
      </c>
      <c r="E17" s="6"/>
      <c r="F17" s="6"/>
      <c r="G17" s="6"/>
      <c r="H17" s="6"/>
      <c r="I17" s="6" t="s">
        <v>313</v>
      </c>
      <c r="J17" s="6" t="s">
        <v>314</v>
      </c>
      <c r="K17" s="6"/>
      <c r="L17" s="6"/>
      <c r="M17" s="6"/>
      <c r="N17" s="6"/>
      <c r="O17" s="6"/>
      <c r="P17" s="6"/>
    </row>
    <row r="18" spans="1:16" ht="48" x14ac:dyDescent="0.2">
      <c r="A18" s="5" t="s">
        <v>98</v>
      </c>
      <c r="B18" s="5" t="s">
        <v>99</v>
      </c>
      <c r="C18" s="5" t="s">
        <v>100</v>
      </c>
      <c r="D18" s="5" t="s">
        <v>88</v>
      </c>
      <c r="E18" s="6"/>
      <c r="F18" s="6"/>
      <c r="G18" s="6"/>
      <c r="H18" s="6"/>
      <c r="I18" s="6"/>
      <c r="J18" s="6" t="s">
        <v>315</v>
      </c>
      <c r="K18" s="6"/>
      <c r="L18" s="6"/>
      <c r="M18" s="6"/>
      <c r="N18" s="6"/>
      <c r="O18" s="6"/>
      <c r="P18" s="6"/>
    </row>
    <row r="19" spans="1:16" ht="48" x14ac:dyDescent="0.2">
      <c r="A19" s="5" t="s">
        <v>102</v>
      </c>
      <c r="B19" s="5" t="s">
        <v>104</v>
      </c>
      <c r="C19" s="5" t="s">
        <v>105</v>
      </c>
      <c r="D19" s="5" t="s">
        <v>88</v>
      </c>
      <c r="E19" s="6" t="s">
        <v>316</v>
      </c>
      <c r="F19" s="6" t="s">
        <v>317</v>
      </c>
      <c r="G19" s="6" t="s">
        <v>318</v>
      </c>
      <c r="H19" s="6" t="s">
        <v>319</v>
      </c>
      <c r="I19" s="6" t="s">
        <v>320</v>
      </c>
      <c r="J19" s="6" t="s">
        <v>321</v>
      </c>
      <c r="K19" s="6"/>
      <c r="L19" s="6"/>
      <c r="M19" s="6"/>
      <c r="N19" s="6"/>
      <c r="O19" s="6"/>
      <c r="P19" s="6"/>
    </row>
    <row r="20" spans="1:16" ht="48" x14ac:dyDescent="0.2">
      <c r="A20" s="5" t="s">
        <v>109</v>
      </c>
      <c r="B20" s="5" t="s">
        <v>110</v>
      </c>
      <c r="C20" s="5" t="s">
        <v>111</v>
      </c>
      <c r="D20" s="5" t="s">
        <v>88</v>
      </c>
      <c r="E20" s="6" t="s">
        <v>322</v>
      </c>
      <c r="F20" s="6" t="s">
        <v>323</v>
      </c>
      <c r="G20" s="6" t="s">
        <v>324</v>
      </c>
      <c r="H20" s="6" t="s">
        <v>325</v>
      </c>
      <c r="I20" s="6" t="s">
        <v>326</v>
      </c>
      <c r="J20" s="6" t="s">
        <v>327</v>
      </c>
      <c r="K20" s="6"/>
      <c r="L20" s="6"/>
      <c r="M20" s="6"/>
      <c r="N20" s="6"/>
      <c r="O20" s="6"/>
      <c r="P20" s="6"/>
    </row>
    <row r="21" spans="1:16" ht="48" x14ac:dyDescent="0.2">
      <c r="A21" s="5" t="s">
        <v>113</v>
      </c>
      <c r="B21" s="5" t="s">
        <v>114</v>
      </c>
      <c r="C21" s="5" t="s">
        <v>115</v>
      </c>
      <c r="D21" s="5" t="s">
        <v>88</v>
      </c>
      <c r="E21" s="6" t="s">
        <v>328</v>
      </c>
      <c r="F21" s="6" t="s">
        <v>329</v>
      </c>
      <c r="G21" s="6" t="s">
        <v>330</v>
      </c>
      <c r="H21" s="6" t="s">
        <v>331</v>
      </c>
      <c r="I21" s="6" t="s">
        <v>332</v>
      </c>
      <c r="J21" s="6" t="s">
        <v>333</v>
      </c>
      <c r="K21" s="6"/>
      <c r="L21" s="6"/>
      <c r="M21" s="6"/>
      <c r="N21" s="6"/>
      <c r="O21" s="6"/>
      <c r="P21" s="6"/>
    </row>
    <row r="22" spans="1:16" ht="32" x14ac:dyDescent="0.2">
      <c r="A22" s="5" t="s">
        <v>117</v>
      </c>
      <c r="B22" s="5" t="s">
        <v>118</v>
      </c>
      <c r="C22" s="5" t="s">
        <v>119</v>
      </c>
      <c r="D22" s="5" t="s">
        <v>88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ht="48" x14ac:dyDescent="0.2">
      <c r="A23" s="5" t="s">
        <v>120</v>
      </c>
      <c r="B23" s="5" t="s">
        <v>121</v>
      </c>
      <c r="C23" s="5" t="s">
        <v>122</v>
      </c>
      <c r="D23" s="5" t="s">
        <v>88</v>
      </c>
      <c r="E23" s="6" t="s">
        <v>334</v>
      </c>
      <c r="F23" s="6" t="s">
        <v>335</v>
      </c>
      <c r="G23" s="6" t="s">
        <v>336</v>
      </c>
      <c r="H23" s="6" t="s">
        <v>337</v>
      </c>
      <c r="I23" s="6" t="s">
        <v>338</v>
      </c>
      <c r="J23" s="6" t="s">
        <v>339</v>
      </c>
      <c r="K23" s="6"/>
      <c r="L23" s="6"/>
      <c r="M23" s="6"/>
      <c r="N23" s="6"/>
      <c r="O23" s="6"/>
      <c r="P23" s="6"/>
    </row>
    <row r="24" spans="1:16" ht="48" x14ac:dyDescent="0.2">
      <c r="A24" s="5" t="s">
        <v>124</v>
      </c>
      <c r="B24" s="5" t="s">
        <v>125</v>
      </c>
      <c r="C24" s="5" t="s">
        <v>126</v>
      </c>
      <c r="D24" s="5" t="s">
        <v>88</v>
      </c>
      <c r="E24" s="6" t="s">
        <v>340</v>
      </c>
      <c r="F24" s="6" t="s">
        <v>341</v>
      </c>
      <c r="G24" s="6" t="s">
        <v>342</v>
      </c>
      <c r="H24" s="6" t="s">
        <v>343</v>
      </c>
      <c r="I24" s="6" t="s">
        <v>344</v>
      </c>
      <c r="J24" s="6" t="s">
        <v>345</v>
      </c>
      <c r="K24" s="6"/>
      <c r="L24" s="6"/>
      <c r="M24" s="6"/>
      <c r="N24" s="6"/>
      <c r="O24" s="6"/>
      <c r="P24" s="6"/>
    </row>
    <row r="25" spans="1:16" ht="48" x14ac:dyDescent="0.2">
      <c r="A25" s="5" t="s">
        <v>129</v>
      </c>
      <c r="B25" s="5" t="s">
        <v>131</v>
      </c>
      <c r="C25" s="5" t="s">
        <v>132</v>
      </c>
      <c r="D25" s="5" t="s">
        <v>88</v>
      </c>
      <c r="E25" s="6" t="s">
        <v>346</v>
      </c>
      <c r="F25" s="6" t="s">
        <v>347</v>
      </c>
      <c r="G25" s="6" t="s">
        <v>348</v>
      </c>
      <c r="H25" s="6" t="s">
        <v>349</v>
      </c>
      <c r="I25" s="6" t="s">
        <v>350</v>
      </c>
      <c r="J25" s="6" t="s">
        <v>351</v>
      </c>
      <c r="K25" s="6"/>
      <c r="L25" s="6"/>
      <c r="M25" s="6"/>
      <c r="N25" s="6"/>
      <c r="O25" s="6"/>
      <c r="P25" s="6"/>
    </row>
    <row r="26" spans="1:16" ht="32" x14ac:dyDescent="0.2">
      <c r="A26" s="5" t="s">
        <v>137</v>
      </c>
      <c r="B26" s="5" t="s">
        <v>138</v>
      </c>
      <c r="C26" s="5" t="s">
        <v>139</v>
      </c>
      <c r="D26" s="5" t="s">
        <v>88</v>
      </c>
      <c r="E26" s="6" t="s">
        <v>352</v>
      </c>
      <c r="F26" s="6" t="s">
        <v>353</v>
      </c>
      <c r="G26" s="6" t="s">
        <v>354</v>
      </c>
      <c r="H26" s="6" t="s">
        <v>355</v>
      </c>
      <c r="I26" s="6" t="s">
        <v>356</v>
      </c>
      <c r="J26" s="6" t="s">
        <v>357</v>
      </c>
      <c r="K26" s="6"/>
      <c r="L26" s="6"/>
      <c r="M26" s="6"/>
      <c r="N26" s="6"/>
      <c r="O26" s="6"/>
      <c r="P26" s="6"/>
    </row>
    <row r="27" spans="1:16" ht="32" x14ac:dyDescent="0.2">
      <c r="A27" s="5" t="s">
        <v>141</v>
      </c>
      <c r="B27" s="5" t="s">
        <v>142</v>
      </c>
      <c r="C27" s="5" t="s">
        <v>143</v>
      </c>
      <c r="D27" s="5" t="s">
        <v>88</v>
      </c>
      <c r="E27" s="6"/>
      <c r="F27" s="6"/>
      <c r="G27" s="6"/>
      <c r="H27" s="6" t="s">
        <v>358</v>
      </c>
      <c r="I27" s="6" t="s">
        <v>359</v>
      </c>
      <c r="J27" s="6" t="s">
        <v>360</v>
      </c>
      <c r="K27" s="6"/>
      <c r="L27" s="6"/>
      <c r="M27" s="6"/>
      <c r="N27" s="6"/>
      <c r="O27" s="6"/>
      <c r="P27" s="6"/>
    </row>
    <row r="28" spans="1:16" ht="32" x14ac:dyDescent="0.2">
      <c r="A28" s="5" t="s">
        <v>145</v>
      </c>
      <c r="B28" s="5" t="s">
        <v>146</v>
      </c>
      <c r="C28" s="5" t="s">
        <v>147</v>
      </c>
      <c r="D28" s="5" t="s">
        <v>88</v>
      </c>
      <c r="E28" s="6"/>
      <c r="F28" s="6"/>
      <c r="G28" s="6"/>
      <c r="H28" s="6" t="s">
        <v>361</v>
      </c>
      <c r="I28" s="6" t="s">
        <v>362</v>
      </c>
      <c r="J28" s="6" t="s">
        <v>363</v>
      </c>
      <c r="K28" s="6"/>
      <c r="L28" s="6"/>
      <c r="M28" s="6"/>
      <c r="N28" s="6"/>
      <c r="O28" s="6"/>
      <c r="P28" s="6"/>
    </row>
    <row r="29" spans="1:16" ht="48" x14ac:dyDescent="0.2">
      <c r="A29" s="5" t="s">
        <v>149</v>
      </c>
      <c r="B29" s="5" t="s">
        <v>150</v>
      </c>
      <c r="C29" s="5" t="s">
        <v>151</v>
      </c>
      <c r="D29" s="5" t="s">
        <v>88</v>
      </c>
      <c r="E29" s="6"/>
      <c r="F29" s="6"/>
      <c r="G29" s="6"/>
      <c r="H29" s="6"/>
      <c r="I29" s="6" t="s">
        <v>364</v>
      </c>
      <c r="J29" s="6" t="s">
        <v>365</v>
      </c>
      <c r="K29" s="6"/>
      <c r="L29" s="6"/>
      <c r="M29" s="6"/>
      <c r="N29" s="6"/>
      <c r="O29" s="6"/>
      <c r="P29" s="6"/>
    </row>
    <row r="30" spans="1:16" ht="48" x14ac:dyDescent="0.2">
      <c r="A30" s="5" t="s">
        <v>153</v>
      </c>
      <c r="B30" s="5" t="s">
        <v>154</v>
      </c>
      <c r="C30" s="5" t="s">
        <v>155</v>
      </c>
      <c r="D30" s="5" t="s">
        <v>88</v>
      </c>
      <c r="E30" s="6"/>
      <c r="F30" s="6"/>
      <c r="G30" s="6"/>
      <c r="H30" s="6"/>
      <c r="I30" s="6"/>
      <c r="J30" s="6" t="s">
        <v>366</v>
      </c>
      <c r="K30" s="6"/>
      <c r="L30" s="6"/>
      <c r="M30" s="6"/>
      <c r="N30" s="6"/>
      <c r="O30" s="6"/>
      <c r="P30" s="6"/>
    </row>
    <row r="31" spans="1:16" ht="48" x14ac:dyDescent="0.2">
      <c r="A31" s="5" t="s">
        <v>157</v>
      </c>
      <c r="B31" s="5" t="s">
        <v>158</v>
      </c>
      <c r="C31" s="5" t="s">
        <v>159</v>
      </c>
      <c r="D31" s="5" t="s">
        <v>88</v>
      </c>
      <c r="E31" s="6"/>
      <c r="F31" s="6"/>
      <c r="G31" s="6"/>
      <c r="H31" s="6"/>
      <c r="I31" s="6"/>
      <c r="J31" s="6" t="s">
        <v>367</v>
      </c>
      <c r="K31" s="6"/>
      <c r="L31" s="6"/>
      <c r="M31" s="6"/>
      <c r="N31" s="6"/>
      <c r="O31" s="6"/>
      <c r="P31" s="6"/>
    </row>
    <row r="32" spans="1:16" ht="48" x14ac:dyDescent="0.2">
      <c r="A32" s="5" t="s">
        <v>161</v>
      </c>
      <c r="B32" s="5" t="s">
        <v>163</v>
      </c>
      <c r="C32" s="5" t="s">
        <v>164</v>
      </c>
      <c r="D32" s="5" t="s">
        <v>88</v>
      </c>
      <c r="E32" s="6" t="s">
        <v>368</v>
      </c>
      <c r="F32" s="6" t="s">
        <v>369</v>
      </c>
      <c r="G32" s="6" t="s">
        <v>370</v>
      </c>
      <c r="H32" s="6" t="s">
        <v>371</v>
      </c>
      <c r="I32" s="6" t="s">
        <v>372</v>
      </c>
      <c r="J32" s="6" t="s">
        <v>373</v>
      </c>
      <c r="K32" s="6"/>
      <c r="L32" s="6"/>
      <c r="M32" s="6"/>
      <c r="N32" s="6"/>
      <c r="O32" s="6"/>
      <c r="P32" s="6"/>
    </row>
    <row r="33" spans="1:16" ht="32" x14ac:dyDescent="0.2">
      <c r="A33" s="5" t="s">
        <v>167</v>
      </c>
      <c r="B33" s="5" t="s">
        <v>168</v>
      </c>
      <c r="C33" s="5" t="s">
        <v>169</v>
      </c>
      <c r="D33" s="5" t="s">
        <v>88</v>
      </c>
      <c r="E33" s="6"/>
      <c r="F33" s="6"/>
      <c r="G33" s="6"/>
      <c r="H33" s="6"/>
      <c r="I33" s="6"/>
      <c r="J33" s="6" t="s">
        <v>374</v>
      </c>
      <c r="K33" s="6"/>
      <c r="L33" s="6"/>
      <c r="M33" s="6"/>
      <c r="N33" s="6"/>
      <c r="O33" s="6"/>
      <c r="P33" s="6"/>
    </row>
    <row r="34" spans="1:16" ht="32" x14ac:dyDescent="0.2">
      <c r="A34" s="5" t="s">
        <v>171</v>
      </c>
      <c r="B34" s="5" t="s">
        <v>172</v>
      </c>
      <c r="C34" s="5" t="s">
        <v>173</v>
      </c>
      <c r="D34" s="5" t="s">
        <v>88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</row>
    <row r="35" spans="1:16" ht="48" x14ac:dyDescent="0.2">
      <c r="A35" s="5" t="s">
        <v>174</v>
      </c>
      <c r="B35" s="5" t="s">
        <v>175</v>
      </c>
      <c r="C35" s="5" t="s">
        <v>176</v>
      </c>
      <c r="D35" s="5" t="s">
        <v>88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32" x14ac:dyDescent="0.2">
      <c r="A36" s="5" t="s">
        <v>177</v>
      </c>
      <c r="B36" s="5" t="s">
        <v>178</v>
      </c>
      <c r="C36" s="5" t="s">
        <v>179</v>
      </c>
      <c r="D36" s="5" t="s">
        <v>88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</row>
    <row r="37" spans="1:16" ht="48" x14ac:dyDescent="0.2">
      <c r="A37" s="5" t="s">
        <v>180</v>
      </c>
      <c r="B37" s="5" t="s">
        <v>181</v>
      </c>
      <c r="C37" s="5" t="s">
        <v>182</v>
      </c>
      <c r="D37" s="5" t="s">
        <v>88</v>
      </c>
      <c r="E37" s="6" t="s">
        <v>375</v>
      </c>
      <c r="F37" s="6" t="s">
        <v>376</v>
      </c>
      <c r="G37" s="6" t="s">
        <v>377</v>
      </c>
      <c r="H37" s="6" t="s">
        <v>378</v>
      </c>
      <c r="I37" s="6" t="s">
        <v>379</v>
      </c>
      <c r="J37" s="6" t="s">
        <v>380</v>
      </c>
      <c r="K37" s="6"/>
      <c r="L37" s="6"/>
      <c r="M37" s="6"/>
      <c r="N37" s="6"/>
      <c r="O37" s="6"/>
      <c r="P37" s="6"/>
    </row>
    <row r="38" spans="1:16" ht="48" x14ac:dyDescent="0.2">
      <c r="A38" s="5" t="s">
        <v>184</v>
      </c>
      <c r="B38" s="5" t="s">
        <v>185</v>
      </c>
      <c r="C38" s="5" t="s">
        <v>186</v>
      </c>
      <c r="D38" s="5" t="s">
        <v>88</v>
      </c>
      <c r="E38" s="6" t="s">
        <v>381</v>
      </c>
      <c r="F38" s="6" t="s">
        <v>382</v>
      </c>
      <c r="G38" s="6" t="s">
        <v>383</v>
      </c>
      <c r="H38" s="6" t="s">
        <v>384</v>
      </c>
      <c r="I38" s="6" t="s">
        <v>385</v>
      </c>
      <c r="J38" s="6" t="s">
        <v>386</v>
      </c>
      <c r="K38" s="6"/>
      <c r="L38" s="6"/>
      <c r="M38" s="6"/>
      <c r="N38" s="6"/>
      <c r="O38" s="6"/>
      <c r="P38" s="6"/>
    </row>
    <row r="39" spans="1:16" ht="32" x14ac:dyDescent="0.2">
      <c r="A39" s="5" t="s">
        <v>188</v>
      </c>
      <c r="B39" s="5" t="s">
        <v>189</v>
      </c>
      <c r="C39" s="5" t="s">
        <v>190</v>
      </c>
      <c r="D39" s="5" t="s">
        <v>88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</row>
    <row r="40" spans="1:16" ht="48" x14ac:dyDescent="0.2">
      <c r="A40" s="5" t="s">
        <v>191</v>
      </c>
      <c r="B40" s="5" t="s">
        <v>193</v>
      </c>
      <c r="C40" s="5" t="s">
        <v>194</v>
      </c>
      <c r="D40" s="5" t="s">
        <v>88</v>
      </c>
      <c r="E40" s="6" t="s">
        <v>387</v>
      </c>
      <c r="F40" s="6" t="s">
        <v>388</v>
      </c>
      <c r="G40" s="6" t="s">
        <v>389</v>
      </c>
      <c r="H40" s="6" t="s">
        <v>390</v>
      </c>
      <c r="I40" s="6" t="s">
        <v>391</v>
      </c>
      <c r="J40" s="6" t="s">
        <v>392</v>
      </c>
      <c r="K40" s="6"/>
      <c r="L40" s="6"/>
      <c r="M40" s="6"/>
      <c r="N40" s="6"/>
      <c r="O40" s="6"/>
      <c r="P40" s="6"/>
    </row>
    <row r="41" spans="1:16" ht="48" x14ac:dyDescent="0.2">
      <c r="A41" s="5" t="s">
        <v>196</v>
      </c>
      <c r="B41" s="5" t="s">
        <v>197</v>
      </c>
      <c r="C41" s="5" t="s">
        <v>198</v>
      </c>
      <c r="D41" s="5" t="s">
        <v>88</v>
      </c>
      <c r="E41" s="6"/>
      <c r="F41" s="6"/>
      <c r="G41" s="6" t="s">
        <v>393</v>
      </c>
      <c r="H41" s="6" t="s">
        <v>394</v>
      </c>
      <c r="I41" s="6" t="s">
        <v>395</v>
      </c>
      <c r="J41" s="6" t="s">
        <v>396</v>
      </c>
      <c r="K41" s="6"/>
      <c r="L41" s="6"/>
      <c r="M41" s="6"/>
      <c r="N41" s="6"/>
      <c r="O41" s="6"/>
      <c r="P41" s="6"/>
    </row>
    <row r="42" spans="1:16" ht="32" x14ac:dyDescent="0.2">
      <c r="A42" s="5" t="s">
        <v>200</v>
      </c>
      <c r="B42" s="5" t="s">
        <v>201</v>
      </c>
      <c r="C42" s="5" t="s">
        <v>202</v>
      </c>
      <c r="D42" s="5" t="s">
        <v>88</v>
      </c>
      <c r="E42" s="6"/>
      <c r="F42" s="6"/>
      <c r="G42" s="6" t="s">
        <v>397</v>
      </c>
      <c r="H42" s="6" t="s">
        <v>398</v>
      </c>
      <c r="I42" s="6" t="s">
        <v>399</v>
      </c>
      <c r="J42" s="6" t="s">
        <v>400</v>
      </c>
      <c r="K42" s="6"/>
      <c r="L42" s="6"/>
      <c r="M42" s="6"/>
      <c r="N42" s="6"/>
      <c r="O42" s="6"/>
      <c r="P42" s="6"/>
    </row>
    <row r="43" spans="1:16" ht="48" x14ac:dyDescent="0.2">
      <c r="A43" s="5" t="s">
        <v>204</v>
      </c>
      <c r="B43" s="5" t="s">
        <v>205</v>
      </c>
      <c r="C43" s="5" t="s">
        <v>206</v>
      </c>
      <c r="D43" s="5" t="s">
        <v>88</v>
      </c>
      <c r="E43" s="6" t="s">
        <v>401</v>
      </c>
      <c r="F43" s="6" t="s">
        <v>402</v>
      </c>
      <c r="G43" s="6" t="s">
        <v>403</v>
      </c>
      <c r="H43" s="6" t="s">
        <v>404</v>
      </c>
      <c r="I43" s="6" t="s">
        <v>405</v>
      </c>
      <c r="J43" s="6" t="s">
        <v>406</v>
      </c>
      <c r="K43" s="6"/>
      <c r="L43" s="6"/>
      <c r="M43" s="6"/>
      <c r="N43" s="6"/>
      <c r="O43" s="6"/>
      <c r="P43" s="6"/>
    </row>
    <row r="44" spans="1:16" ht="48" x14ac:dyDescent="0.2">
      <c r="A44" s="5" t="s">
        <v>208</v>
      </c>
      <c r="B44" s="5" t="s">
        <v>209</v>
      </c>
      <c r="C44" s="5" t="s">
        <v>210</v>
      </c>
      <c r="D44" s="5" t="s">
        <v>88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</row>
    <row r="45" spans="1:16" ht="48" x14ac:dyDescent="0.2">
      <c r="A45" s="5" t="s">
        <v>211</v>
      </c>
      <c r="B45" s="5" t="s">
        <v>213</v>
      </c>
      <c r="C45" s="5" t="s">
        <v>214</v>
      </c>
      <c r="D45" s="5" t="s">
        <v>212</v>
      </c>
      <c r="E45" s="6" t="s">
        <v>407</v>
      </c>
      <c r="F45" s="6" t="s">
        <v>408</v>
      </c>
      <c r="G45" s="6" t="s">
        <v>409</v>
      </c>
      <c r="H45" s="6" t="s">
        <v>410</v>
      </c>
      <c r="I45" s="6" t="s">
        <v>411</v>
      </c>
      <c r="J45" s="6" t="s">
        <v>412</v>
      </c>
      <c r="K45" s="6"/>
      <c r="L45" s="6"/>
      <c r="M45" s="6"/>
      <c r="N45" s="6"/>
      <c r="O45" s="6"/>
      <c r="P45" s="6"/>
    </row>
    <row r="46" spans="1:16" ht="48" x14ac:dyDescent="0.2">
      <c r="A46" s="5" t="s">
        <v>216</v>
      </c>
      <c r="B46" s="5" t="s">
        <v>217</v>
      </c>
      <c r="C46" s="5" t="s">
        <v>218</v>
      </c>
      <c r="D46" s="5" t="s">
        <v>212</v>
      </c>
      <c r="E46" s="6" t="s">
        <v>413</v>
      </c>
      <c r="F46" s="6" t="s">
        <v>414</v>
      </c>
      <c r="G46" s="6" t="s">
        <v>415</v>
      </c>
      <c r="H46" s="6" t="s">
        <v>416</v>
      </c>
      <c r="I46" s="6" t="s">
        <v>417</v>
      </c>
      <c r="J46" s="6" t="s">
        <v>418</v>
      </c>
      <c r="K46" s="6"/>
      <c r="L46" s="6"/>
      <c r="M46" s="6"/>
      <c r="N46" s="6"/>
      <c r="O46" s="6"/>
      <c r="P46" s="6"/>
    </row>
    <row r="47" spans="1:16" ht="80" x14ac:dyDescent="0.2">
      <c r="A47" s="5" t="s">
        <v>220</v>
      </c>
      <c r="B47" s="5" t="s">
        <v>221</v>
      </c>
      <c r="C47" s="5" t="s">
        <v>222</v>
      </c>
      <c r="D47" s="5" t="s">
        <v>212</v>
      </c>
      <c r="E47" s="6" t="s">
        <v>419</v>
      </c>
      <c r="F47" s="6" t="s">
        <v>420</v>
      </c>
      <c r="G47" s="6" t="s">
        <v>421</v>
      </c>
      <c r="H47" s="6" t="s">
        <v>422</v>
      </c>
      <c r="I47" s="6" t="s">
        <v>423</v>
      </c>
      <c r="J47" s="6" t="s">
        <v>424</v>
      </c>
      <c r="K47" s="6"/>
      <c r="L47" s="6"/>
      <c r="M47" s="6"/>
      <c r="N47" s="6"/>
      <c r="O47" s="6"/>
      <c r="P47" s="6"/>
    </row>
    <row r="48" spans="1:16" ht="48" x14ac:dyDescent="0.2">
      <c r="A48" s="5" t="s">
        <v>224</v>
      </c>
      <c r="B48" s="5" t="s">
        <v>225</v>
      </c>
      <c r="C48" s="5" t="s">
        <v>226</v>
      </c>
      <c r="D48" s="5" t="s">
        <v>212</v>
      </c>
      <c r="E48" s="6" t="s">
        <v>425</v>
      </c>
      <c r="F48" s="6" t="s">
        <v>426</v>
      </c>
      <c r="G48" s="6" t="s">
        <v>427</v>
      </c>
      <c r="H48" s="6" t="s">
        <v>428</v>
      </c>
      <c r="I48" s="6" t="s">
        <v>429</v>
      </c>
      <c r="J48" s="6" t="s">
        <v>430</v>
      </c>
      <c r="K48" s="6"/>
      <c r="L48" s="6"/>
      <c r="M48" s="6"/>
      <c r="N48" s="6"/>
      <c r="O48" s="6"/>
      <c r="P48" s="6"/>
    </row>
    <row r="49" spans="1:16" ht="48" x14ac:dyDescent="0.2">
      <c r="A49" s="5" t="s">
        <v>228</v>
      </c>
      <c r="B49" s="5" t="s">
        <v>229</v>
      </c>
      <c r="C49" s="5" t="s">
        <v>230</v>
      </c>
      <c r="D49" s="5" t="s">
        <v>212</v>
      </c>
      <c r="E49" s="6" t="s">
        <v>431</v>
      </c>
      <c r="F49" s="6" t="s">
        <v>432</v>
      </c>
      <c r="G49" s="6" t="s">
        <v>433</v>
      </c>
      <c r="H49" s="6" t="s">
        <v>434</v>
      </c>
      <c r="I49" s="6" t="s">
        <v>435</v>
      </c>
      <c r="J49" s="6" t="s">
        <v>436</v>
      </c>
      <c r="K49" s="6"/>
      <c r="L49" s="6"/>
      <c r="M49" s="6"/>
      <c r="N49" s="6"/>
      <c r="O49" s="6"/>
      <c r="P49" s="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/>
  </sheetViews>
  <sheetFormatPr baseColWidth="10" defaultColWidth="8.83203125" defaultRowHeight="15" x14ac:dyDescent="0.2"/>
  <cols>
    <col min="1" max="1" width="10" customWidth="1"/>
    <col min="2" max="2" width="95" customWidth="1"/>
  </cols>
  <sheetData>
    <row r="1" spans="1:2" ht="22" customHeight="1" x14ac:dyDescent="0.2">
      <c r="A1" s="1" t="s">
        <v>437</v>
      </c>
      <c r="B1" s="1" t="s">
        <v>438</v>
      </c>
    </row>
    <row r="2" spans="1:2" ht="16" x14ac:dyDescent="0.2">
      <c r="A2" s="4" t="s">
        <v>439</v>
      </c>
      <c r="B2" s="6" t="s">
        <v>440</v>
      </c>
    </row>
    <row r="3" spans="1:2" ht="16" x14ac:dyDescent="0.2">
      <c r="A3" s="4" t="s">
        <v>441</v>
      </c>
      <c r="B3" s="6" t="s">
        <v>442</v>
      </c>
    </row>
    <row r="4" spans="1:2" ht="16" x14ac:dyDescent="0.2">
      <c r="A4" s="4" t="s">
        <v>443</v>
      </c>
      <c r="B4" s="6" t="s">
        <v>444</v>
      </c>
    </row>
    <row r="5" spans="1:2" ht="16" x14ac:dyDescent="0.2">
      <c r="A5" s="4" t="s">
        <v>445</v>
      </c>
      <c r="B5" s="6" t="s">
        <v>446</v>
      </c>
    </row>
    <row r="6" spans="1:2" ht="16" x14ac:dyDescent="0.2">
      <c r="A6" s="4" t="s">
        <v>447</v>
      </c>
      <c r="B6" s="6" t="s">
        <v>448</v>
      </c>
    </row>
    <row r="7" spans="1:2" ht="16" x14ac:dyDescent="0.2">
      <c r="A7" s="4" t="s">
        <v>449</v>
      </c>
      <c r="B7" s="6" t="s">
        <v>450</v>
      </c>
    </row>
    <row r="8" spans="1:2" ht="16" x14ac:dyDescent="0.2">
      <c r="A8" s="4" t="s">
        <v>451</v>
      </c>
      <c r="B8" s="6"/>
    </row>
    <row r="9" spans="1:2" ht="16" x14ac:dyDescent="0.2">
      <c r="A9" s="4" t="s">
        <v>452</v>
      </c>
      <c r="B9" s="6"/>
    </row>
    <row r="10" spans="1:2" ht="16" x14ac:dyDescent="0.2">
      <c r="A10" s="4" t="s">
        <v>453</v>
      </c>
      <c r="B10" s="6"/>
    </row>
    <row r="11" spans="1:2" ht="16" x14ac:dyDescent="0.2">
      <c r="A11" s="4" t="s">
        <v>454</v>
      </c>
      <c r="B11" s="6"/>
    </row>
    <row r="12" spans="1:2" ht="16" x14ac:dyDescent="0.2">
      <c r="A12" s="4" t="s">
        <v>455</v>
      </c>
      <c r="B12" s="6"/>
    </row>
    <row r="13" spans="1:2" ht="16" x14ac:dyDescent="0.2">
      <c r="A13" s="4" t="s">
        <v>456</v>
      </c>
      <c r="B13" s="6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"/>
  <sheetViews>
    <sheetView workbookViewId="0">
      <pane xSplit="2" ySplit="1" topLeftCell="C2" activePane="bottomRight" state="frozen"/>
      <selection pane="topRight"/>
      <selection pane="bottomLeft"/>
      <selection pane="bottomRight" activeCell="E4" sqref="E4"/>
    </sheetView>
  </sheetViews>
  <sheetFormatPr baseColWidth="10" defaultColWidth="8.83203125" defaultRowHeight="15" x14ac:dyDescent="0.2"/>
  <cols>
    <col min="1" max="1" width="34" customWidth="1"/>
    <col min="2" max="14" width="9" customWidth="1"/>
  </cols>
  <sheetData>
    <row r="1" spans="1:14" ht="22" customHeight="1" x14ac:dyDescent="0.2">
      <c r="A1" s="1" t="s">
        <v>1</v>
      </c>
      <c r="B1" s="1" t="s">
        <v>457</v>
      </c>
      <c r="C1" s="1" t="s">
        <v>439</v>
      </c>
      <c r="D1" s="1" t="s">
        <v>441</v>
      </c>
      <c r="E1" s="1" t="s">
        <v>443</v>
      </c>
      <c r="F1" s="1" t="s">
        <v>445</v>
      </c>
      <c r="G1" s="1" t="s">
        <v>447</v>
      </c>
      <c r="H1" s="1" t="s">
        <v>449</v>
      </c>
      <c r="I1" s="1" t="s">
        <v>451</v>
      </c>
      <c r="J1" s="1" t="s">
        <v>452</v>
      </c>
      <c r="K1" s="1" t="s">
        <v>453</v>
      </c>
      <c r="L1" s="1" t="s">
        <v>454</v>
      </c>
      <c r="M1" s="1" t="s">
        <v>455</v>
      </c>
      <c r="N1" s="1" t="s">
        <v>456</v>
      </c>
    </row>
    <row r="2" spans="1:14" ht="48" x14ac:dyDescent="0.2">
      <c r="A2" s="5" t="s">
        <v>458</v>
      </c>
      <c r="B2" s="4" t="s">
        <v>35</v>
      </c>
      <c r="C2" s="10">
        <f>IFERROR(SUMPRODUCT((บันทึกผล!$B$2:$B$49=$B2)*บันทึกผล!$AH$2:$AH$49*N(บันทึกผล!G$2:G$49))/SUMPRODUCT((บันทึกผล!$B$2:$B$49=$B2)*บันทึกผล!$AH$2:$AH$49),"")</f>
        <v>8.300000000000006</v>
      </c>
      <c r="D2" s="10">
        <f>IFERROR(SUMPRODUCT((บันทึกผล!$B$2:$B$49=$B2)*บันทึกผล!$AH$2:$AH$49*N(บันทึกผล!H$2:H$49))/SUMPRODUCT((บันทึกผล!$B$2:$B$49=$B2)*บันทึกผล!$AH$2:$AH$49),"")</f>
        <v>16.700000000000003</v>
      </c>
      <c r="E2" s="10">
        <f>IFERROR(SUMPRODUCT((บันทึกผล!$B$2:$B$49=$B2)*บันทึกผล!$AH$2:$AH$49*N(บันทึกผล!I$2:I$49))/SUMPRODUCT((บันทึกผล!$B$2:$B$49=$B2)*บันทึกผล!$AH$2:$AH$49),"")</f>
        <v>25.000000000000007</v>
      </c>
      <c r="F2" s="10">
        <f>IFERROR(SUMPRODUCT((บันทึกผล!$B$2:$B$49=$B2)*บันทึกผล!$AH$2:$AH$49*N(บันทึกผล!J$2:J$49))/SUMPRODUCT((บันทึกผล!$B$2:$B$49=$B2)*บันทึกผล!$AH$2:$AH$49),"")</f>
        <v>33.300000000000011</v>
      </c>
      <c r="G2" s="10">
        <f>IFERROR(SUMPRODUCT((บันทึกผล!$B$2:$B$49=$B2)*บันทึกผล!$AH$2:$AH$49*N(บันทึกผล!K$2:K$49))/SUMPRODUCT((บันทึกผล!$B$2:$B$49=$B2)*บันทึกผล!$AH$2:$AH$49),"")</f>
        <v>41.700000000000024</v>
      </c>
      <c r="H2" s="10">
        <f>IFERROR(SUMPRODUCT((บันทึกผล!$B$2:$B$49=$B2)*บันทึกผล!$AH$2:$AH$49*N(บันทึกผล!L$2:L$49))/SUMPRODUCT((บันทึกผล!$B$2:$B$49=$B2)*บันทึกผล!$AH$2:$AH$49),"")</f>
        <v>50.000000000000014</v>
      </c>
      <c r="I2" s="10">
        <f>IFERROR(SUMPRODUCT((บันทึกผล!$B$2:$B$49=$B2)*บันทึกผล!$AH$2:$AH$49*N(บันทึกผล!M$2:M$49))/SUMPRODUCT((บันทึกผล!$B$2:$B$49=$B2)*บันทึกผล!$AH$2:$AH$49),"")</f>
        <v>58.300000000000004</v>
      </c>
      <c r="J2" s="10">
        <f>IFERROR(SUMPRODUCT((บันทึกผล!$B$2:$B$49=$B2)*บันทึกผล!$AH$2:$AH$49*N(บันทึกผล!N$2:N$49))/SUMPRODUCT((บันทึกผล!$B$2:$B$49=$B2)*บันทึกผล!$AH$2:$AH$49),"")</f>
        <v>66.700000000000045</v>
      </c>
      <c r="K2" s="10">
        <f>IFERROR(SUMPRODUCT((บันทึกผล!$B$2:$B$49=$B2)*บันทึกผล!$AH$2:$AH$49*N(บันทึกผล!O$2:O$49))/SUMPRODUCT((บันทึกผล!$B$2:$B$49=$B2)*บันทึกผล!$AH$2:$AH$49),"")</f>
        <v>75.000000000000028</v>
      </c>
      <c r="L2" s="10">
        <f>IFERROR(SUMPRODUCT((บันทึกผล!$B$2:$B$49=$B2)*บันทึกผล!$AH$2:$AH$49*N(บันทึกผล!P$2:P$49))/SUMPRODUCT((บันทึกผล!$B$2:$B$49=$B2)*บันทึกผล!$AH$2:$AH$49),"")</f>
        <v>83.300000000000054</v>
      </c>
      <c r="M2" s="10">
        <f>IFERROR(SUMPRODUCT((บันทึกผล!$B$2:$B$49=$B2)*บันทึกผล!$AH$2:$AH$49*N(บันทึกผล!Q$2:Q$49))/SUMPRODUCT((บันทึกผล!$B$2:$B$49=$B2)*บันทึกผล!$AH$2:$AH$49),"")</f>
        <v>91.700000000000031</v>
      </c>
      <c r="N2" s="10">
        <f>IFERROR(SUMPRODUCT((บันทึกผล!$B$2:$B$49=$B2)*บันทึกผล!$AH$2:$AH$49*N(บันทึกผล!R$2:R$49))/SUMPRODUCT((บันทึกผล!$B$2:$B$49=$B2)*บันทึกผล!$AH$2:$AH$49),"")</f>
        <v>100.00000000000003</v>
      </c>
    </row>
    <row r="3" spans="1:14" ht="32" x14ac:dyDescent="0.2">
      <c r="A3" s="5" t="s">
        <v>459</v>
      </c>
      <c r="B3" s="4" t="s">
        <v>88</v>
      </c>
      <c r="C3" s="10">
        <f>IFERROR(SUMPRODUCT((บันทึกผล!$B$2:$B$49=$B3)*บันทึกผล!$AH$2:$AH$49*N(บันทึกผล!G$2:G$49))/SUMPRODUCT((บันทึกผล!$B$2:$B$49=$B3)*บันทึกผล!$AH$2:$AH$49),"")</f>
        <v>8.3000000000000096</v>
      </c>
      <c r="D3" s="10">
        <f>IFERROR(SUMPRODUCT((บันทึกผล!$B$2:$B$49=$B3)*บันทึกผล!$AH$2:$AH$49*N(บันทึกผล!H$2:H$49))/SUMPRODUCT((บันทึกผล!$B$2:$B$49=$B3)*บันทึกผล!$AH$2:$AH$49),"")</f>
        <v>16.700000000000006</v>
      </c>
      <c r="E3" s="10">
        <f>IFERROR(SUMPRODUCT((บันทึกผล!$B$2:$B$49=$B3)*บันทึกผล!$AH$2:$AH$49*N(บันทึกผล!I$2:I$49))/SUMPRODUCT((บันทึกผล!$B$2:$B$49=$B3)*บันทึกผล!$AH$2:$AH$49),"")</f>
        <v>25.000000000000014</v>
      </c>
      <c r="F3" s="10">
        <f>IFERROR(SUMPRODUCT((บันทึกผล!$B$2:$B$49=$B3)*บันทึกผล!$AH$2:$AH$49*N(บันทึกผล!J$2:J$49))/SUMPRODUCT((บันทึกผล!$B$2:$B$49=$B3)*บันทึกผล!$AH$2:$AH$49),"")</f>
        <v>33.299999999999997</v>
      </c>
      <c r="G3" s="10">
        <f>IFERROR(SUMPRODUCT((บันทึกผล!$B$2:$B$49=$B3)*บันทึกผล!$AH$2:$AH$49*N(บันทึกผล!K$2:K$49))/SUMPRODUCT((บันทึกผล!$B$2:$B$49=$B3)*บันทึกผล!$AH$2:$AH$49),"")</f>
        <v>41.700000000000031</v>
      </c>
      <c r="H3" s="10">
        <f>IFERROR(SUMPRODUCT((บันทึกผล!$B$2:$B$49=$B3)*บันทึกผล!$AH$2:$AH$49*N(บันทึกผล!L$2:L$49))/SUMPRODUCT((บันทึกผล!$B$2:$B$49=$B3)*บันทึกผล!$AH$2:$AH$49),"")</f>
        <v>50.000000000000028</v>
      </c>
      <c r="I3" s="10">
        <f>IFERROR(SUMPRODUCT((บันทึกผล!$B$2:$B$49=$B3)*บันทึกผล!$AH$2:$AH$49*N(บันทึกผล!M$2:M$49))/SUMPRODUCT((บันทึกผล!$B$2:$B$49=$B3)*บันทึกผล!$AH$2:$AH$49),"")</f>
        <v>58.300000000000047</v>
      </c>
      <c r="J3" s="10">
        <f>IFERROR(SUMPRODUCT((บันทึกผล!$B$2:$B$49=$B3)*บันทึกผล!$AH$2:$AH$49*N(บันทึกผล!N$2:N$49))/SUMPRODUCT((บันทึกผล!$B$2:$B$49=$B3)*บันทึกผล!$AH$2:$AH$49),"")</f>
        <v>66.700000000000031</v>
      </c>
      <c r="K3" s="10">
        <f>IFERROR(SUMPRODUCT((บันทึกผล!$B$2:$B$49=$B3)*บันทึกผล!$AH$2:$AH$49*N(บันทึกผล!O$2:O$49))/SUMPRODUCT((บันทึกผล!$B$2:$B$49=$B3)*บันทึกผล!$AH$2:$AH$49),"")</f>
        <v>75.000000000000043</v>
      </c>
      <c r="L3" s="10">
        <f>IFERROR(SUMPRODUCT((บันทึกผล!$B$2:$B$49=$B3)*บันทึกผล!$AH$2:$AH$49*N(บันทึกผล!P$2:P$49))/SUMPRODUCT((บันทึกผล!$B$2:$B$49=$B3)*บันทึกผล!$AH$2:$AH$49),"")</f>
        <v>83.300000000000097</v>
      </c>
      <c r="M3" s="10">
        <f>IFERROR(SUMPRODUCT((บันทึกผล!$B$2:$B$49=$B3)*บันทึกผล!$AH$2:$AH$49*N(บันทึกผล!Q$2:Q$49))/SUMPRODUCT((บันทึกผล!$B$2:$B$49=$B3)*บันทึกผล!$AH$2:$AH$49),"")</f>
        <v>91.700000000000031</v>
      </c>
      <c r="N3" s="10">
        <f>IFERROR(SUMPRODUCT((บันทึกผล!$B$2:$B$49=$B3)*บันทึกผล!$AH$2:$AH$49*N(บันทึกผล!R$2:R$49))/SUMPRODUCT((บันทึกผล!$B$2:$B$49=$B3)*บันทึกผล!$AH$2:$AH$49),"")</f>
        <v>100.00000000000006</v>
      </c>
    </row>
    <row r="4" spans="1:14" ht="16" x14ac:dyDescent="0.2">
      <c r="A4" s="5" t="s">
        <v>460</v>
      </c>
      <c r="B4" s="4" t="s">
        <v>212</v>
      </c>
      <c r="C4" s="10">
        <f>IFERROR(SUMPRODUCT((บันทึกผล!$B$2:$B$49=$B4)*บันทึกผล!$AH$2:$AH$49*N(บันทึกผล!G$2:G$49))/SUMPRODUCT((บันทึกผล!$B$2:$B$49=$B4)*บันทึกผล!$AH$2:$AH$49),"")</f>
        <v>8.3000000000000025</v>
      </c>
      <c r="D4" s="10">
        <f>IFERROR(SUMPRODUCT((บันทึกผล!$B$2:$B$49=$B4)*บันทึกผล!$AH$2:$AH$49*N(บันทึกผล!H$2:H$49))/SUMPRODUCT((บันทึกผล!$B$2:$B$49=$B4)*บันทึกผล!$AH$2:$AH$49),"")</f>
        <v>16.699999999999996</v>
      </c>
      <c r="E4" s="10">
        <f>IFERROR(SUMPRODUCT((บันทึกผล!$B$2:$B$49=$B4)*บันทึกผล!$AH$2:$AH$49*N(บันทึกผล!I$2:I$49))/SUMPRODUCT((บันทึกผล!$B$2:$B$49=$B4)*บันทึกผล!$AH$2:$AH$49),"")</f>
        <v>25</v>
      </c>
      <c r="F4" s="10">
        <f>IFERROR(SUMPRODUCT((บันทึกผล!$B$2:$B$49=$B4)*บันทึกผล!$AH$2:$AH$49*N(บันทึกผล!J$2:J$49))/SUMPRODUCT((บันทึกผล!$B$2:$B$49=$B4)*บันทึกผล!$AH$2:$AH$49),"")</f>
        <v>33.299999999999997</v>
      </c>
      <c r="G4" s="10">
        <f>IFERROR(SUMPRODUCT((บันทึกผล!$B$2:$B$49=$B4)*บันทึกผล!$AH$2:$AH$49*N(บันทึกผล!K$2:K$49))/SUMPRODUCT((บันทึกผล!$B$2:$B$49=$B4)*บันทึกผล!$AH$2:$AH$49),"")</f>
        <v>41.699999999999996</v>
      </c>
      <c r="H4" s="10">
        <f>IFERROR(SUMPRODUCT((บันทึกผล!$B$2:$B$49=$B4)*บันทึกผล!$AH$2:$AH$49*N(บันทึกผล!L$2:L$49))/SUMPRODUCT((บันทึกผล!$B$2:$B$49=$B4)*บันทึกผล!$AH$2:$AH$49),"")</f>
        <v>50</v>
      </c>
      <c r="I4" s="10">
        <f>IFERROR(SUMPRODUCT((บันทึกผล!$B$2:$B$49=$B4)*บันทึกผล!$AH$2:$AH$49*N(บันทึกผล!M$2:M$49))/SUMPRODUCT((บันทึกผล!$B$2:$B$49=$B4)*บันทึกผล!$AH$2:$AH$49),"")</f>
        <v>58.29999999999999</v>
      </c>
      <c r="J4" s="10">
        <f>IFERROR(SUMPRODUCT((บันทึกผล!$B$2:$B$49=$B4)*บันทึกผล!$AH$2:$AH$49*N(บันทึกผล!N$2:N$49))/SUMPRODUCT((บันทึกผล!$B$2:$B$49=$B4)*บันทึกผล!$AH$2:$AH$49),"")</f>
        <v>66.7</v>
      </c>
      <c r="K4" s="10">
        <f>IFERROR(SUMPRODUCT((บันทึกผล!$B$2:$B$49=$B4)*บันทึกผล!$AH$2:$AH$49*N(บันทึกผล!O$2:O$49))/SUMPRODUCT((บันทึกผล!$B$2:$B$49=$B4)*บันทึกผล!$AH$2:$AH$49),"")</f>
        <v>75</v>
      </c>
      <c r="L4" s="10">
        <f>IFERROR(SUMPRODUCT((บันทึกผล!$B$2:$B$49=$B4)*บันทึกผล!$AH$2:$AH$49*N(บันทึกผล!P$2:P$49))/SUMPRODUCT((บันทึกผล!$B$2:$B$49=$B4)*บันทึกผล!$AH$2:$AH$49),"")</f>
        <v>83.3</v>
      </c>
      <c r="M4" s="10">
        <f>IFERROR(SUMPRODUCT((บันทึกผล!$B$2:$B$49=$B4)*บันทึกผล!$AH$2:$AH$49*N(บันทึกผล!Q$2:Q$49))/SUMPRODUCT((บันทึกผล!$B$2:$B$49=$B4)*บันทึกผล!$AH$2:$AH$49),"")</f>
        <v>91.7</v>
      </c>
      <c r="N4" s="10">
        <f>IFERROR(SUMPRODUCT((บันทึกผล!$B$2:$B$49=$B4)*บันทึกผล!$AH$2:$AH$49*N(บันทึกผล!R$2:R$49))/SUMPRODUCT((บันทึกผล!$B$2:$B$49=$B4)*บันทึกผล!$AH$2:$AH$49),"")</f>
        <v>100</v>
      </c>
    </row>
    <row r="5" spans="1:14" ht="16" x14ac:dyDescent="0.2">
      <c r="A5" s="5" t="s">
        <v>461</v>
      </c>
      <c r="B5" s="4" t="s">
        <v>462</v>
      </c>
      <c r="C5" s="10">
        <f>IFERROR(SUMPRODUCT(บันทึกผล!$AH$2:$AH$49*N(บันทึกผล!G$2:G$49))/SUMPRODUCT(บันทึกผล!$AH$2:$AH$49),"")</f>
        <v>8.3000000000000096</v>
      </c>
      <c r="D5" s="10">
        <f>IFERROR(SUMPRODUCT(บันทึกผล!$AH$2:$AH$49*N(บันทึกผล!H$2:H$49))/SUMPRODUCT(บันทึกผล!$AH$2:$AH$49),"")</f>
        <v>16.700000000000028</v>
      </c>
      <c r="E5" s="10">
        <f>IFERROR(SUMPRODUCT(บันทึกผล!$AH$2:$AH$49*N(บันทึกผล!I$2:I$49))/SUMPRODUCT(บันทึกผล!$AH$2:$AH$49),"")</f>
        <v>25.000000000000018</v>
      </c>
      <c r="F5" s="10">
        <f>IFERROR(SUMPRODUCT(บันทึกผล!$AH$2:$AH$49*N(บันทึกผล!J$2:J$49))/SUMPRODUCT(บันทึกผล!$AH$2:$AH$49),"")</f>
        <v>33.300000000000033</v>
      </c>
      <c r="G5" s="10">
        <f>IFERROR(SUMPRODUCT(บันทึกผล!$AH$2:$AH$49*N(บันทึกผล!K$2:K$49))/SUMPRODUCT(บันทึกผล!$AH$2:$AH$49),"")</f>
        <v>41.700000000000017</v>
      </c>
      <c r="H5" s="10">
        <f>IFERROR(SUMPRODUCT(บันทึกผล!$AH$2:$AH$49*N(บันทึกผล!L$2:L$49))/SUMPRODUCT(บันทึกผล!$AH$2:$AH$49),"")</f>
        <v>50.000000000000036</v>
      </c>
      <c r="I5" s="10">
        <f>IFERROR(SUMPRODUCT(บันทึกผล!$AH$2:$AH$49*N(บันทึกผล!M$2:M$49))/SUMPRODUCT(บันทึกผล!$AH$2:$AH$49),"")</f>
        <v>58.300000000000068</v>
      </c>
      <c r="J5" s="10">
        <f>IFERROR(SUMPRODUCT(บันทึกผล!$AH$2:$AH$49*N(บันทึกผล!N$2:N$49))/SUMPRODUCT(บันทึกผล!$AH$2:$AH$49),"")</f>
        <v>66.700000000000017</v>
      </c>
      <c r="K5" s="10">
        <f>IFERROR(SUMPRODUCT(บันทึกผล!$AH$2:$AH$49*N(บันทึกผล!O$2:O$49))/SUMPRODUCT(บันทึกผล!$AH$2:$AH$49),"")</f>
        <v>75.000000000000057</v>
      </c>
      <c r="L5" s="10">
        <f>IFERROR(SUMPRODUCT(บันทึกผล!$AH$2:$AH$49*N(บันทึกผล!P$2:P$49))/SUMPRODUCT(บันทึกผล!$AH$2:$AH$49),"")</f>
        <v>83.300000000000097</v>
      </c>
      <c r="M5" s="10">
        <f>IFERROR(SUMPRODUCT(บันทึกผล!$AH$2:$AH$49*N(บันทึกผล!Q$2:Q$49))/SUMPRODUCT(บันทึกผล!$AH$2:$AH$49),"")</f>
        <v>91.700000000000074</v>
      </c>
      <c r="N5" s="10">
        <f>IFERROR(SUMPRODUCT(บันทึกผล!$AH$2:$AH$49*N(บันทึกผล!R$2:R$49))/SUMPRODUCT(บันทึกผล!$AH$2:$AH$49),"")</f>
        <v>100.00000000000007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บันทึกผล</vt:lpstr>
      <vt:lpstr>วิธีใช้</vt:lpstr>
      <vt:lpstr>สรุปรายเดือน_กิจกรรม</vt:lpstr>
      <vt:lpstr>รายงานประจำเดือน</vt:lpstr>
      <vt:lpstr>สรุปเป้าหมายตามแผน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2026-08-17T07:17:31Z</dcterms:created>
  <dcterms:modified xsi:type="dcterms:W3CDTF">2026-08-17T10:31:09Z</dcterms:modified>
</cp:coreProperties>
</file>
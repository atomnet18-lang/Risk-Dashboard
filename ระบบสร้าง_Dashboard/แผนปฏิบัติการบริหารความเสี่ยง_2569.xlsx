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devill/1_กฟน./2569/Dashborad_RM/"/>
    </mc:Choice>
  </mc:AlternateContent>
  <xr:revisionPtr revIDLastSave="0" documentId="8_{09506441-BC40-9849-BD90-52C05EA33854}" xr6:coauthVersionLast="47" xr6:coauthVersionMax="47" xr10:uidLastSave="{00000000-0000-0000-0000-000000000000}"/>
  <bookViews>
    <workbookView xWindow="0" yWindow="660" windowWidth="29040" windowHeight="15720" xr2:uid="{23085BD0-7049-48EC-83DB-2A8EE0A18E9B}"/>
  </bookViews>
  <sheets>
    <sheet name="Risk_Bar_result" sheetId="8" r:id="rId1"/>
    <sheet name="Risk_Bar" sheetId="3" r:id="rId2"/>
  </sheets>
  <definedNames>
    <definedName name="_xlnm.Print_Titles" localSheetId="1">Risk_Bar!$2:$3</definedName>
    <definedName name="_xlnm.Print_Titles" localSheetId="0">Risk_Bar_result!$2:$3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6" i="8" l="1"/>
  <c r="N236" i="8" s="1"/>
  <c r="O236" i="8" s="1"/>
  <c r="P236" i="8" s="1"/>
  <c r="Q236" i="8" s="1"/>
  <c r="R236" i="8" s="1"/>
  <c r="S236" i="8" s="1"/>
  <c r="S235" i="8"/>
  <c r="G234" i="8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S232" i="8"/>
  <c r="G231" i="8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S229" i="8"/>
  <c r="G228" i="8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S226" i="8"/>
  <c r="G225" i="8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S223" i="8"/>
  <c r="G222" i="8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S218" i="8"/>
  <c r="S217" i="8"/>
  <c r="S216" i="8"/>
  <c r="S215" i="8"/>
  <c r="S214" i="8"/>
  <c r="S213" i="8"/>
  <c r="S212" i="8"/>
  <c r="S211" i="8"/>
  <c r="S210" i="8"/>
  <c r="P209" i="8"/>
  <c r="Q209" i="8" s="1"/>
  <c r="R209" i="8" s="1"/>
  <c r="R208" i="8"/>
  <c r="Q208" i="8"/>
  <c r="P208" i="8"/>
  <c r="S207" i="8"/>
  <c r="S206" i="8"/>
  <c r="S205" i="8"/>
  <c r="S204" i="8"/>
  <c r="G203" i="8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Q202" i="8"/>
  <c r="P202" i="8"/>
  <c r="O202" i="8"/>
  <c r="N202" i="8"/>
  <c r="M202" i="8"/>
  <c r="L202" i="8"/>
  <c r="K202" i="8"/>
  <c r="J202" i="8"/>
  <c r="I202" i="8"/>
  <c r="H202" i="8"/>
  <c r="G202" i="8"/>
  <c r="S201" i="8"/>
  <c r="S200" i="8"/>
  <c r="S199" i="8"/>
  <c r="S198" i="8"/>
  <c r="S197" i="8"/>
  <c r="I196" i="8"/>
  <c r="J196" i="8" s="1"/>
  <c r="K196" i="8" s="1"/>
  <c r="L196" i="8" s="1"/>
  <c r="M196" i="8" s="1"/>
  <c r="N196" i="8" s="1"/>
  <c r="O196" i="8" s="1"/>
  <c r="P196" i="8" s="1"/>
  <c r="Q196" i="8" s="1"/>
  <c r="R196" i="8" s="1"/>
  <c r="R195" i="8"/>
  <c r="Q195" i="8"/>
  <c r="P195" i="8"/>
  <c r="O195" i="8"/>
  <c r="N195" i="8"/>
  <c r="M195" i="8"/>
  <c r="L195" i="8"/>
  <c r="K195" i="8"/>
  <c r="J195" i="8"/>
  <c r="I195" i="8"/>
  <c r="S194" i="8"/>
  <c r="S193" i="8"/>
  <c r="S192" i="8"/>
  <c r="S191" i="8"/>
  <c r="I190" i="8"/>
  <c r="J190" i="8" s="1"/>
  <c r="K190" i="8" s="1"/>
  <c r="L190" i="8" s="1"/>
  <c r="M190" i="8" s="1"/>
  <c r="N190" i="8" s="1"/>
  <c r="O190" i="8" s="1"/>
  <c r="P190" i="8" s="1"/>
  <c r="Q190" i="8" s="1"/>
  <c r="R190" i="8" s="1"/>
  <c r="R189" i="8"/>
  <c r="Q189" i="8"/>
  <c r="P189" i="8"/>
  <c r="O189" i="8"/>
  <c r="N189" i="8"/>
  <c r="M189" i="8"/>
  <c r="L189" i="8"/>
  <c r="K189" i="8"/>
  <c r="J189" i="8"/>
  <c r="I189" i="8"/>
  <c r="S188" i="8"/>
  <c r="S187" i="8"/>
  <c r="S186" i="8"/>
  <c r="S185" i="8"/>
  <c r="S184" i="8"/>
  <c r="G183" i="8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R182" i="8"/>
  <c r="Q182" i="8"/>
  <c r="P182" i="8"/>
  <c r="O182" i="8"/>
  <c r="N182" i="8"/>
  <c r="M182" i="8"/>
  <c r="L182" i="8"/>
  <c r="K182" i="8"/>
  <c r="J182" i="8"/>
  <c r="I182" i="8"/>
  <c r="H182" i="8"/>
  <c r="G182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S180" i="8"/>
  <c r="S179" i="8"/>
  <c r="S178" i="8"/>
  <c r="S177" i="8"/>
  <c r="P176" i="8"/>
  <c r="Q176" i="8" s="1"/>
  <c r="R176" i="8" s="1"/>
  <c r="R175" i="8"/>
  <c r="Q175" i="8"/>
  <c r="P175" i="8"/>
  <c r="S174" i="8"/>
  <c r="G173" i="8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R172" i="8"/>
  <c r="Q172" i="8"/>
  <c r="P172" i="8"/>
  <c r="O172" i="8"/>
  <c r="N172" i="8"/>
  <c r="M172" i="8"/>
  <c r="L172" i="8"/>
  <c r="K172" i="8"/>
  <c r="J172" i="8"/>
  <c r="I172" i="8"/>
  <c r="H172" i="8"/>
  <c r="G172" i="8"/>
  <c r="S171" i="8"/>
  <c r="S170" i="8"/>
  <c r="S169" i="8"/>
  <c r="G168" i="8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R167" i="8"/>
  <c r="Q167" i="8"/>
  <c r="P167" i="8"/>
  <c r="O167" i="8"/>
  <c r="N167" i="8"/>
  <c r="M167" i="8"/>
  <c r="L167" i="8"/>
  <c r="K167" i="8"/>
  <c r="J167" i="8"/>
  <c r="I167" i="8"/>
  <c r="H167" i="8"/>
  <c r="G167" i="8"/>
  <c r="S166" i="8"/>
  <c r="N165" i="8"/>
  <c r="O165" i="8" s="1"/>
  <c r="P165" i="8" s="1"/>
  <c r="Q165" i="8" s="1"/>
  <c r="Q164" i="8"/>
  <c r="P164" i="8"/>
  <c r="O164" i="8"/>
  <c r="N164" i="8"/>
  <c r="S163" i="8"/>
  <c r="S162" i="8"/>
  <c r="N161" i="8"/>
  <c r="O161" i="8" s="1"/>
  <c r="P161" i="8" s="1"/>
  <c r="Q161" i="8" s="1"/>
  <c r="Q160" i="8"/>
  <c r="P160" i="8"/>
  <c r="O160" i="8"/>
  <c r="N160" i="8"/>
  <c r="S159" i="8"/>
  <c r="S158" i="8"/>
  <c r="M157" i="8"/>
  <c r="N157" i="8" s="1"/>
  <c r="O157" i="8" s="1"/>
  <c r="P157" i="8" s="1"/>
  <c r="P156" i="8"/>
  <c r="O156" i="8"/>
  <c r="N156" i="8"/>
  <c r="M156" i="8"/>
  <c r="S155" i="8"/>
  <c r="S154" i="8"/>
  <c r="L153" i="8"/>
  <c r="M153" i="8" s="1"/>
  <c r="N153" i="8" s="1"/>
  <c r="N152" i="8"/>
  <c r="M152" i="8"/>
  <c r="L152" i="8"/>
  <c r="S151" i="8"/>
  <c r="S150" i="8"/>
  <c r="S149" i="8"/>
  <c r="G148" i="8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R147" i="8"/>
  <c r="Q147" i="8"/>
  <c r="P147" i="8"/>
  <c r="O147" i="8"/>
  <c r="N147" i="8"/>
  <c r="M147" i="8"/>
  <c r="L147" i="8"/>
  <c r="K147" i="8"/>
  <c r="J147" i="8"/>
  <c r="I147" i="8"/>
  <c r="H147" i="8"/>
  <c r="G147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S145" i="8"/>
  <c r="S144" i="8"/>
  <c r="S143" i="8"/>
  <c r="L142" i="8"/>
  <c r="M142" i="8" s="1"/>
  <c r="N142" i="8" s="1"/>
  <c r="O142" i="8" s="1"/>
  <c r="O141" i="8"/>
  <c r="N141" i="8"/>
  <c r="M141" i="8"/>
  <c r="L141" i="8"/>
  <c r="S140" i="8"/>
  <c r="S139" i="8"/>
  <c r="S138" i="8"/>
  <c r="L137" i="8"/>
  <c r="M137" i="8" s="1"/>
  <c r="M136" i="8"/>
  <c r="L136" i="8"/>
  <c r="S135" i="8"/>
  <c r="K134" i="8"/>
  <c r="L134" i="8" s="1"/>
  <c r="M134" i="8" s="1"/>
  <c r="M133" i="8"/>
  <c r="L133" i="8"/>
  <c r="K133" i="8"/>
  <c r="S132" i="8"/>
  <c r="S131" i="8"/>
  <c r="J130" i="8"/>
  <c r="K130" i="8" s="1"/>
  <c r="L130" i="8" s="1"/>
  <c r="M130" i="8" s="1"/>
  <c r="M129" i="8"/>
  <c r="L129" i="8"/>
  <c r="K129" i="8"/>
  <c r="J129" i="8"/>
  <c r="S128" i="8"/>
  <c r="S127" i="8"/>
  <c r="J126" i="8"/>
  <c r="K126" i="8" s="1"/>
  <c r="L126" i="8" s="1"/>
  <c r="M126" i="8" s="1"/>
  <c r="M125" i="8"/>
  <c r="L125" i="8"/>
  <c r="K125" i="8"/>
  <c r="J125" i="8"/>
  <c r="S124" i="8"/>
  <c r="S123" i="8"/>
  <c r="S122" i="8"/>
  <c r="G121" i="8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R120" i="8"/>
  <c r="Q120" i="8"/>
  <c r="P120" i="8"/>
  <c r="O120" i="8"/>
  <c r="N120" i="8"/>
  <c r="M120" i="8"/>
  <c r="L120" i="8"/>
  <c r="K120" i="8"/>
  <c r="J120" i="8"/>
  <c r="I120" i="8"/>
  <c r="H120" i="8"/>
  <c r="G120" i="8"/>
  <c r="S119" i="8"/>
  <c r="S118" i="8"/>
  <c r="S117" i="8"/>
  <c r="S116" i="8"/>
  <c r="S115" i="8"/>
  <c r="G114" i="8"/>
  <c r="H114" i="8" s="1"/>
  <c r="I114" i="8" s="1"/>
  <c r="J114" i="8" s="1"/>
  <c r="K114" i="8" s="1"/>
  <c r="L114" i="8" s="1"/>
  <c r="M114" i="8" s="1"/>
  <c r="M113" i="8"/>
  <c r="L113" i="8"/>
  <c r="K113" i="8"/>
  <c r="J113" i="8"/>
  <c r="I113" i="8"/>
  <c r="H113" i="8"/>
  <c r="G113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S111" i="8"/>
  <c r="S110" i="8"/>
  <c r="S109" i="8"/>
  <c r="S108" i="8"/>
  <c r="S107" i="8"/>
  <c r="S106" i="8"/>
  <c r="G105" i="8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R104" i="8"/>
  <c r="Q104" i="8"/>
  <c r="P104" i="8"/>
  <c r="O104" i="8"/>
  <c r="N104" i="8"/>
  <c r="M104" i="8"/>
  <c r="L104" i="8"/>
  <c r="K104" i="8"/>
  <c r="J104" i="8"/>
  <c r="I104" i="8"/>
  <c r="H104" i="8"/>
  <c r="G104" i="8"/>
  <c r="S103" i="8"/>
  <c r="S102" i="8"/>
  <c r="S101" i="8"/>
  <c r="S100" i="8"/>
  <c r="G99" i="8"/>
  <c r="H99" i="8" s="1"/>
  <c r="I99" i="8" s="1"/>
  <c r="J99" i="8" s="1"/>
  <c r="K99" i="8" s="1"/>
  <c r="K98" i="8"/>
  <c r="J98" i="8"/>
  <c r="I98" i="8"/>
  <c r="H98" i="8"/>
  <c r="G98" i="8"/>
  <c r="S97" i="8"/>
  <c r="S96" i="8"/>
  <c r="S95" i="8"/>
  <c r="S94" i="8"/>
  <c r="M93" i="8"/>
  <c r="N93" i="8" s="1"/>
  <c r="O93" i="8" s="1"/>
  <c r="P93" i="8" s="1"/>
  <c r="Q93" i="8" s="1"/>
  <c r="R93" i="8" s="1"/>
  <c r="R92" i="8"/>
  <c r="Q92" i="8"/>
  <c r="P92" i="8"/>
  <c r="O92" i="8"/>
  <c r="N92" i="8"/>
  <c r="M92" i="8"/>
  <c r="S91" i="8"/>
  <c r="S90" i="8"/>
  <c r="S89" i="8"/>
  <c r="S88" i="8"/>
  <c r="G87" i="8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R86" i="8"/>
  <c r="Q86" i="8"/>
  <c r="P86" i="8"/>
  <c r="O86" i="8"/>
  <c r="N86" i="8"/>
  <c r="M86" i="8"/>
  <c r="L86" i="8"/>
  <c r="K86" i="8"/>
  <c r="J86" i="8"/>
  <c r="I86" i="8"/>
  <c r="H86" i="8"/>
  <c r="G86" i="8"/>
  <c r="S85" i="8"/>
  <c r="S84" i="8"/>
  <c r="S83" i="8"/>
  <c r="S82" i="8"/>
  <c r="S81" i="8"/>
  <c r="S80" i="8"/>
  <c r="G79" i="8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R78" i="8"/>
  <c r="Q78" i="8"/>
  <c r="P78" i="8"/>
  <c r="O78" i="8"/>
  <c r="N78" i="8"/>
  <c r="M78" i="8"/>
  <c r="L78" i="8"/>
  <c r="K78" i="8"/>
  <c r="J78" i="8"/>
  <c r="I78" i="8"/>
  <c r="H78" i="8"/>
  <c r="G78" i="8"/>
  <c r="S77" i="8"/>
  <c r="S76" i="8"/>
  <c r="S75" i="8"/>
  <c r="G74" i="8"/>
  <c r="H74" i="8" s="1"/>
  <c r="I74" i="8" s="1"/>
  <c r="J74" i="8" s="1"/>
  <c r="K74" i="8" s="1"/>
  <c r="L74" i="8" s="1"/>
  <c r="L73" i="8"/>
  <c r="K73" i="8"/>
  <c r="J73" i="8"/>
  <c r="I73" i="8"/>
  <c r="H73" i="8"/>
  <c r="G73" i="8"/>
  <c r="R72" i="8"/>
  <c r="Q72" i="8"/>
  <c r="P72" i="8"/>
  <c r="O72" i="8"/>
  <c r="N72" i="8"/>
  <c r="M72" i="8"/>
  <c r="L72" i="8"/>
  <c r="K72" i="8"/>
  <c r="J72" i="8"/>
  <c r="I72" i="8"/>
  <c r="H72" i="8"/>
  <c r="G72" i="8"/>
  <c r="S71" i="8"/>
  <c r="S70" i="8"/>
  <c r="S69" i="8"/>
  <c r="S68" i="8"/>
  <c r="S67" i="8"/>
  <c r="L66" i="8"/>
  <c r="M66" i="8" s="1"/>
  <c r="N66" i="8" s="1"/>
  <c r="O66" i="8" s="1"/>
  <c r="P66" i="8" s="1"/>
  <c r="Q66" i="8" s="1"/>
  <c r="R66" i="8" s="1"/>
  <c r="R65" i="8"/>
  <c r="Q65" i="8"/>
  <c r="P65" i="8"/>
  <c r="O65" i="8"/>
  <c r="N65" i="8"/>
  <c r="M65" i="8"/>
  <c r="L65" i="8"/>
  <c r="S64" i="8"/>
  <c r="S63" i="8"/>
  <c r="S62" i="8"/>
  <c r="S61" i="8"/>
  <c r="K60" i="8"/>
  <c r="L60" i="8" s="1"/>
  <c r="M60" i="8" s="1"/>
  <c r="N60" i="8" s="1"/>
  <c r="O60" i="8" s="1"/>
  <c r="P60" i="8" s="1"/>
  <c r="Q60" i="8" s="1"/>
  <c r="R60" i="8" s="1"/>
  <c r="R59" i="8"/>
  <c r="Q59" i="8"/>
  <c r="P59" i="8"/>
  <c r="O59" i="8"/>
  <c r="N59" i="8"/>
  <c r="M59" i="8"/>
  <c r="L59" i="8"/>
  <c r="K59" i="8"/>
  <c r="S58" i="8"/>
  <c r="S57" i="8"/>
  <c r="S56" i="8"/>
  <c r="S55" i="8"/>
  <c r="S54" i="8"/>
  <c r="M53" i="8"/>
  <c r="N53" i="8" s="1"/>
  <c r="O53" i="8" s="1"/>
  <c r="P53" i="8" s="1"/>
  <c r="Q53" i="8" s="1"/>
  <c r="R53" i="8" s="1"/>
  <c r="S53" i="8" s="1"/>
  <c r="R52" i="8"/>
  <c r="Q52" i="8"/>
  <c r="P52" i="8"/>
  <c r="O52" i="8"/>
  <c r="N52" i="8"/>
  <c r="M52" i="8"/>
  <c r="R51" i="8"/>
  <c r="Q51" i="8"/>
  <c r="P51" i="8"/>
  <c r="O51" i="8"/>
  <c r="N51" i="8"/>
  <c r="M51" i="8"/>
  <c r="L51" i="8"/>
  <c r="K51" i="8"/>
  <c r="S49" i="8"/>
  <c r="S48" i="8"/>
  <c r="G47" i="8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R46" i="8"/>
  <c r="Q46" i="8"/>
  <c r="P46" i="8"/>
  <c r="O46" i="8"/>
  <c r="N46" i="8"/>
  <c r="M46" i="8"/>
  <c r="L46" i="8"/>
  <c r="K46" i="8"/>
  <c r="J46" i="8"/>
  <c r="I46" i="8"/>
  <c r="H46" i="8"/>
  <c r="G46" i="8"/>
  <c r="S45" i="8"/>
  <c r="G44" i="8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R43" i="8"/>
  <c r="Q43" i="8"/>
  <c r="P43" i="8"/>
  <c r="O43" i="8"/>
  <c r="N43" i="8"/>
  <c r="M43" i="8"/>
  <c r="L43" i="8"/>
  <c r="K43" i="8"/>
  <c r="J43" i="8"/>
  <c r="I43" i="8"/>
  <c r="H43" i="8"/>
  <c r="G43" i="8"/>
  <c r="S42" i="8"/>
  <c r="G41" i="8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R40" i="8"/>
  <c r="Q40" i="8"/>
  <c r="P40" i="8"/>
  <c r="O40" i="8"/>
  <c r="N40" i="8"/>
  <c r="M40" i="8"/>
  <c r="L40" i="8"/>
  <c r="K40" i="8"/>
  <c r="J40" i="8"/>
  <c r="I40" i="8"/>
  <c r="H40" i="8"/>
  <c r="G40" i="8"/>
  <c r="S39" i="8"/>
  <c r="M38" i="8"/>
  <c r="N38" i="8" s="1"/>
  <c r="O38" i="8" s="1"/>
  <c r="P38" i="8" s="1"/>
  <c r="Q38" i="8" s="1"/>
  <c r="R38" i="8" s="1"/>
  <c r="S38" i="8" s="1"/>
  <c r="O37" i="8"/>
  <c r="N37" i="8"/>
  <c r="M37" i="8"/>
  <c r="S36" i="8"/>
  <c r="J35" i="8"/>
  <c r="K35" i="8" s="1"/>
  <c r="L35" i="8" s="1"/>
  <c r="M35" i="8" s="1"/>
  <c r="N35" i="8" s="1"/>
  <c r="O35" i="8" s="1"/>
  <c r="P35" i="8" s="1"/>
  <c r="Q35" i="8" s="1"/>
  <c r="R35" i="8" s="1"/>
  <c r="S35" i="8" s="1"/>
  <c r="O34" i="8"/>
  <c r="N34" i="8"/>
  <c r="M34" i="8"/>
  <c r="L34" i="8"/>
  <c r="K34" i="8"/>
  <c r="J34" i="8"/>
  <c r="S33" i="8"/>
  <c r="G32" i="8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R31" i="8"/>
  <c r="Q31" i="8"/>
  <c r="P31" i="8"/>
  <c r="O31" i="8"/>
  <c r="N31" i="8"/>
  <c r="M31" i="8"/>
  <c r="L31" i="8"/>
  <c r="K31" i="8"/>
  <c r="J31" i="8"/>
  <c r="I31" i="8"/>
  <c r="H31" i="8"/>
  <c r="G31" i="8"/>
  <c r="S30" i="8"/>
  <c r="P29" i="8"/>
  <c r="Q29" i="8" s="1"/>
  <c r="R29" i="8" s="1"/>
  <c r="S29" i="8" s="1"/>
  <c r="R28" i="8"/>
  <c r="Q28" i="8"/>
  <c r="P28" i="8"/>
  <c r="S27" i="8"/>
  <c r="P26" i="8"/>
  <c r="Q26" i="8" s="1"/>
  <c r="R26" i="8" s="1"/>
  <c r="S26" i="8" s="1"/>
  <c r="R25" i="8"/>
  <c r="Q25" i="8"/>
  <c r="P25" i="8"/>
  <c r="S24" i="8"/>
  <c r="P23" i="8"/>
  <c r="Q23" i="8" s="1"/>
  <c r="R23" i="8" s="1"/>
  <c r="S23" i="8" s="1"/>
  <c r="R22" i="8"/>
  <c r="Q22" i="8"/>
  <c r="P22" i="8"/>
  <c r="S21" i="8"/>
  <c r="S20" i="8"/>
  <c r="M19" i="8"/>
  <c r="N19" i="8" s="1"/>
  <c r="O19" i="8" s="1"/>
  <c r="P19" i="8" s="1"/>
  <c r="Q19" i="8" s="1"/>
  <c r="R19" i="8" s="1"/>
  <c r="S19" i="8" s="1"/>
  <c r="Q18" i="8"/>
  <c r="P18" i="8"/>
  <c r="O18" i="8"/>
  <c r="N18" i="8"/>
  <c r="M18" i="8"/>
  <c r="S17" i="8"/>
  <c r="J16" i="8"/>
  <c r="K16" i="8" s="1"/>
  <c r="L16" i="8" s="1"/>
  <c r="M16" i="8" s="1"/>
  <c r="N16" i="8" s="1"/>
  <c r="O16" i="8" s="1"/>
  <c r="P16" i="8" s="1"/>
  <c r="Q16" i="8" s="1"/>
  <c r="R16" i="8" s="1"/>
  <c r="S16" i="8" s="1"/>
  <c r="L15" i="8"/>
  <c r="K15" i="8"/>
  <c r="J15" i="8"/>
  <c r="S14" i="8"/>
  <c r="G13" i="8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R12" i="8"/>
  <c r="Q12" i="8"/>
  <c r="P12" i="8"/>
  <c r="O12" i="8"/>
  <c r="N12" i="8"/>
  <c r="M12" i="8"/>
  <c r="L12" i="8"/>
  <c r="K12" i="8"/>
  <c r="J12" i="8"/>
  <c r="I12" i="8"/>
  <c r="H12" i="8"/>
  <c r="G12" i="8"/>
  <c r="S11" i="8"/>
  <c r="G10" i="8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R9" i="8"/>
  <c r="Q9" i="8"/>
  <c r="P9" i="8"/>
  <c r="O9" i="8"/>
  <c r="N9" i="8"/>
  <c r="M9" i="8"/>
  <c r="L9" i="8"/>
  <c r="K9" i="8"/>
  <c r="J9" i="8"/>
  <c r="I9" i="8"/>
  <c r="H9" i="8"/>
  <c r="G9" i="8"/>
  <c r="S8" i="8"/>
  <c r="G7" i="8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R6" i="8"/>
  <c r="Q6" i="8"/>
  <c r="P6" i="8"/>
  <c r="O6" i="8"/>
  <c r="N6" i="8"/>
  <c r="M6" i="8"/>
  <c r="L6" i="8"/>
  <c r="K6" i="8"/>
  <c r="J6" i="8"/>
  <c r="I6" i="8"/>
  <c r="H6" i="8"/>
  <c r="G6" i="8"/>
  <c r="R5" i="8"/>
  <c r="Q5" i="8"/>
  <c r="P5" i="8"/>
  <c r="O5" i="8"/>
  <c r="N5" i="8"/>
  <c r="M5" i="8"/>
  <c r="L5" i="8"/>
  <c r="K5" i="8"/>
  <c r="J5" i="8"/>
  <c r="I5" i="8"/>
  <c r="H5" i="8"/>
  <c r="G5" i="8"/>
  <c r="G234" i="3"/>
  <c r="H234" i="3" s="1"/>
  <c r="G231" i="3"/>
  <c r="H231" i="3" s="1"/>
  <c r="G228" i="3"/>
  <c r="H228" i="3" s="1"/>
  <c r="G225" i="3"/>
  <c r="S235" i="3"/>
  <c r="S232" i="3"/>
  <c r="M236" i="3"/>
  <c r="S229" i="3"/>
  <c r="S226" i="3"/>
  <c r="S223" i="3"/>
  <c r="G222" i="3"/>
  <c r="H222" i="3" s="1"/>
  <c r="J35" i="3"/>
  <c r="G47" i="3"/>
  <c r="H47" i="3" s="1"/>
  <c r="G44" i="3"/>
  <c r="H44" i="3" s="1"/>
  <c r="I44" i="3" s="1"/>
  <c r="J44" i="3" s="1"/>
  <c r="K44" i="3" s="1"/>
  <c r="G41" i="3"/>
  <c r="S36" i="3"/>
  <c r="G32" i="3"/>
  <c r="H32" i="3" s="1"/>
  <c r="I32" i="3" s="1"/>
  <c r="J32" i="3" s="1"/>
  <c r="K32" i="3" s="1"/>
  <c r="M19" i="3"/>
  <c r="N19" i="3" s="1"/>
  <c r="O19" i="3" s="1"/>
  <c r="J16" i="3"/>
  <c r="K16" i="3" s="1"/>
  <c r="L16" i="3" s="1"/>
  <c r="M16" i="3" s="1"/>
  <c r="N16" i="3" s="1"/>
  <c r="O16" i="3" s="1"/>
  <c r="P16" i="3" s="1"/>
  <c r="Q16" i="3" s="1"/>
  <c r="R16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G12" i="3" s="1"/>
  <c r="G10" i="3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G7" i="3"/>
  <c r="H7" i="3" s="1"/>
  <c r="I7" i="3" s="1"/>
  <c r="S49" i="3"/>
  <c r="S45" i="3"/>
  <c r="S42" i="3"/>
  <c r="S33" i="3"/>
  <c r="S30" i="3"/>
  <c r="S39" i="3"/>
  <c r="S179" i="3"/>
  <c r="S27" i="3"/>
  <c r="S21" i="3"/>
  <c r="S20" i="3"/>
  <c r="S48" i="3"/>
  <c r="S24" i="3"/>
  <c r="S17" i="3"/>
  <c r="S14" i="3"/>
  <c r="S11" i="3"/>
  <c r="S8" i="3"/>
  <c r="S218" i="3"/>
  <c r="S217" i="3"/>
  <c r="S216" i="3"/>
  <c r="S215" i="3"/>
  <c r="S214" i="3"/>
  <c r="S213" i="3"/>
  <c r="S212" i="3"/>
  <c r="S211" i="3"/>
  <c r="S210" i="3"/>
  <c r="P209" i="3"/>
  <c r="Q209" i="3" s="1"/>
  <c r="S207" i="3"/>
  <c r="S206" i="3"/>
  <c r="S205" i="3"/>
  <c r="S204" i="3"/>
  <c r="G203" i="3"/>
  <c r="H203" i="3" s="1"/>
  <c r="S201" i="3"/>
  <c r="S200" i="3"/>
  <c r="S199" i="3"/>
  <c r="S198" i="3"/>
  <c r="S197" i="3"/>
  <c r="I196" i="3"/>
  <c r="I195" i="3" s="1"/>
  <c r="S194" i="3"/>
  <c r="S193" i="3"/>
  <c r="S192" i="3"/>
  <c r="S191" i="3"/>
  <c r="I190" i="3"/>
  <c r="I189" i="3" s="1"/>
  <c r="S188" i="3"/>
  <c r="S187" i="3"/>
  <c r="S186" i="3"/>
  <c r="S185" i="3"/>
  <c r="S184" i="3"/>
  <c r="G183" i="3"/>
  <c r="S180" i="3"/>
  <c r="S178" i="3"/>
  <c r="S177" i="3"/>
  <c r="P176" i="3"/>
  <c r="Q176" i="3" s="1"/>
  <c r="S174" i="3"/>
  <c r="G173" i="3"/>
  <c r="G172" i="3" s="1"/>
  <c r="S171" i="3"/>
  <c r="S170" i="3"/>
  <c r="S169" i="3"/>
  <c r="G168" i="3"/>
  <c r="H168" i="3" s="1"/>
  <c r="S166" i="3"/>
  <c r="N165" i="3"/>
  <c r="N164" i="3" s="1"/>
  <c r="S163" i="3"/>
  <c r="S162" i="3"/>
  <c r="N161" i="3"/>
  <c r="O161" i="3" s="1"/>
  <c r="S159" i="3"/>
  <c r="S158" i="3"/>
  <c r="M157" i="3"/>
  <c r="M156" i="3" s="1"/>
  <c r="S155" i="3"/>
  <c r="S154" i="3"/>
  <c r="L153" i="3"/>
  <c r="M153" i="3" s="1"/>
  <c r="N153" i="3" s="1"/>
  <c r="N152" i="3" s="1"/>
  <c r="S151" i="3"/>
  <c r="S150" i="3"/>
  <c r="S149" i="3"/>
  <c r="G148" i="3"/>
  <c r="S145" i="3"/>
  <c r="S144" i="3"/>
  <c r="S143" i="3"/>
  <c r="L142" i="3"/>
  <c r="S140" i="3"/>
  <c r="S139" i="3"/>
  <c r="S138" i="3"/>
  <c r="L137" i="3"/>
  <c r="L136" i="3" s="1"/>
  <c r="S135" i="3"/>
  <c r="K134" i="3"/>
  <c r="L134" i="3" s="1"/>
  <c r="L133" i="3" s="1"/>
  <c r="S132" i="3"/>
  <c r="S131" i="3"/>
  <c r="J130" i="3"/>
  <c r="J129" i="3" s="1"/>
  <c r="S128" i="3"/>
  <c r="S127" i="3"/>
  <c r="J126" i="3"/>
  <c r="J125" i="3" s="1"/>
  <c r="S124" i="3"/>
  <c r="S123" i="3"/>
  <c r="S122" i="3"/>
  <c r="G121" i="3"/>
  <c r="H121" i="3" s="1"/>
  <c r="I121" i="3" s="1"/>
  <c r="J121" i="3" s="1"/>
  <c r="J120" i="3" s="1"/>
  <c r="S119" i="3"/>
  <c r="S118" i="3"/>
  <c r="S117" i="3"/>
  <c r="S116" i="3"/>
  <c r="S115" i="3"/>
  <c r="G114" i="3"/>
  <c r="S111" i="3"/>
  <c r="S110" i="3"/>
  <c r="S109" i="3"/>
  <c r="S108" i="3"/>
  <c r="S107" i="3"/>
  <c r="S106" i="3"/>
  <c r="G105" i="3"/>
  <c r="H105" i="3" s="1"/>
  <c r="H104" i="3" s="1"/>
  <c r="S103" i="3"/>
  <c r="S102" i="3"/>
  <c r="S101" i="3"/>
  <c r="S100" i="3"/>
  <c r="G99" i="3"/>
  <c r="S97" i="3"/>
  <c r="S96" i="3"/>
  <c r="S95" i="3"/>
  <c r="S94" i="3"/>
  <c r="M93" i="3"/>
  <c r="M92" i="3" s="1"/>
  <c r="S91" i="3"/>
  <c r="S90" i="3"/>
  <c r="S89" i="3"/>
  <c r="S88" i="3"/>
  <c r="G87" i="3"/>
  <c r="H87" i="3" s="1"/>
  <c r="I87" i="3" s="1"/>
  <c r="S85" i="3"/>
  <c r="S84" i="3"/>
  <c r="S83" i="3"/>
  <c r="S82" i="3"/>
  <c r="S81" i="3"/>
  <c r="S80" i="3"/>
  <c r="G79" i="3"/>
  <c r="G78" i="3" s="1"/>
  <c r="S77" i="3"/>
  <c r="S76" i="3"/>
  <c r="S75" i="3"/>
  <c r="G74" i="3"/>
  <c r="S71" i="3"/>
  <c r="S70" i="3"/>
  <c r="S69" i="3"/>
  <c r="S68" i="3"/>
  <c r="S67" i="3"/>
  <c r="L66" i="3"/>
  <c r="S64" i="3"/>
  <c r="S63" i="3"/>
  <c r="S62" i="3"/>
  <c r="S61" i="3"/>
  <c r="K60" i="3"/>
  <c r="S58" i="3"/>
  <c r="S57" i="3"/>
  <c r="S56" i="3"/>
  <c r="S55" i="3"/>
  <c r="S54" i="3"/>
  <c r="M53" i="3"/>
  <c r="R233" i="8" l="1"/>
  <c r="Q233" i="8"/>
  <c r="P233" i="8"/>
  <c r="O233" i="8"/>
  <c r="N233" i="8"/>
  <c r="M233" i="8"/>
  <c r="L233" i="8"/>
  <c r="K233" i="8"/>
  <c r="J233" i="8"/>
  <c r="I233" i="8"/>
  <c r="H233" i="8"/>
  <c r="G233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R221" i="8"/>
  <c r="R220" i="8" s="1"/>
  <c r="Q221" i="8"/>
  <c r="Q220" i="8" s="1"/>
  <c r="P221" i="8"/>
  <c r="P220" i="8" s="1"/>
  <c r="O221" i="8"/>
  <c r="O220" i="8" s="1"/>
  <c r="N221" i="8"/>
  <c r="N220" i="8" s="1"/>
  <c r="M221" i="8"/>
  <c r="M220" i="8" s="1"/>
  <c r="L221" i="8"/>
  <c r="L220" i="8" s="1"/>
  <c r="K221" i="8"/>
  <c r="K220" i="8" s="1"/>
  <c r="J221" i="8"/>
  <c r="J220" i="8" s="1"/>
  <c r="I221" i="8"/>
  <c r="I220" i="8" s="1"/>
  <c r="H221" i="8"/>
  <c r="H220" i="8" s="1"/>
  <c r="G221" i="8"/>
  <c r="G220" i="8" s="1"/>
  <c r="I234" i="3"/>
  <c r="I231" i="3"/>
  <c r="I228" i="3"/>
  <c r="H225" i="3"/>
  <c r="I222" i="3"/>
  <c r="N236" i="3"/>
  <c r="I12" i="3"/>
  <c r="H12" i="3"/>
  <c r="R12" i="3"/>
  <c r="L12" i="3"/>
  <c r="K12" i="3"/>
  <c r="P19" i="3"/>
  <c r="Q12" i="3"/>
  <c r="J12" i="3"/>
  <c r="M12" i="3"/>
  <c r="P12" i="3"/>
  <c r="O12" i="3"/>
  <c r="N12" i="3"/>
  <c r="G9" i="3"/>
  <c r="K9" i="3"/>
  <c r="L9" i="3"/>
  <c r="Q9" i="3"/>
  <c r="M9" i="3"/>
  <c r="N9" i="3"/>
  <c r="O9" i="3"/>
  <c r="J9" i="3"/>
  <c r="P9" i="3"/>
  <c r="I9" i="3"/>
  <c r="R9" i="3"/>
  <c r="H9" i="3"/>
  <c r="J7" i="3"/>
  <c r="K35" i="3"/>
  <c r="L35" i="3" s="1"/>
  <c r="I47" i="3"/>
  <c r="L44" i="3"/>
  <c r="H41" i="3"/>
  <c r="L32" i="3"/>
  <c r="M38" i="3"/>
  <c r="H86" i="3"/>
  <c r="G104" i="3"/>
  <c r="G86" i="3"/>
  <c r="N160" i="3"/>
  <c r="O165" i="3"/>
  <c r="O164" i="3" s="1"/>
  <c r="G167" i="3"/>
  <c r="M137" i="3"/>
  <c r="M136" i="3" s="1"/>
  <c r="R176" i="3"/>
  <c r="R175" i="3" s="1"/>
  <c r="Q175" i="3"/>
  <c r="H202" i="3"/>
  <c r="I203" i="3"/>
  <c r="I202" i="3" s="1"/>
  <c r="H173" i="3"/>
  <c r="P175" i="3"/>
  <c r="G202" i="3"/>
  <c r="H79" i="3"/>
  <c r="H78" i="3" s="1"/>
  <c r="K126" i="3"/>
  <c r="N157" i="3"/>
  <c r="N93" i="3"/>
  <c r="O93" i="3" s="1"/>
  <c r="M152" i="3"/>
  <c r="H99" i="3"/>
  <c r="G98" i="3"/>
  <c r="K59" i="3"/>
  <c r="K51" i="3" s="1"/>
  <c r="L60" i="3"/>
  <c r="I86" i="3"/>
  <c r="J87" i="3"/>
  <c r="O160" i="3"/>
  <c r="P161" i="3"/>
  <c r="G147" i="3"/>
  <c r="H148" i="3"/>
  <c r="I168" i="3"/>
  <c r="H167" i="3"/>
  <c r="H183" i="3"/>
  <c r="G182" i="3"/>
  <c r="H74" i="3"/>
  <c r="G73" i="3"/>
  <c r="R209" i="3"/>
  <c r="R208" i="3" s="1"/>
  <c r="Q208" i="3"/>
  <c r="H114" i="3"/>
  <c r="G113" i="3"/>
  <c r="G120" i="3"/>
  <c r="K121" i="3"/>
  <c r="M134" i="3"/>
  <c r="M133" i="3" s="1"/>
  <c r="M142" i="3"/>
  <c r="L141" i="3"/>
  <c r="M66" i="3"/>
  <c r="L65" i="3"/>
  <c r="I105" i="3"/>
  <c r="H120" i="3"/>
  <c r="K130" i="3"/>
  <c r="I120" i="3"/>
  <c r="J190" i="3"/>
  <c r="J196" i="3"/>
  <c r="P208" i="3"/>
  <c r="N53" i="3"/>
  <c r="K133" i="3"/>
  <c r="L152" i="3"/>
  <c r="J234" i="3" l="1"/>
  <c r="J231" i="3"/>
  <c r="J228" i="3"/>
  <c r="I225" i="3"/>
  <c r="J222" i="3"/>
  <c r="O236" i="3"/>
  <c r="I41" i="3"/>
  <c r="M32" i="3"/>
  <c r="Q19" i="3"/>
  <c r="K7" i="3"/>
  <c r="M35" i="3"/>
  <c r="J47" i="3"/>
  <c r="M44" i="3"/>
  <c r="N38" i="3"/>
  <c r="G146" i="3"/>
  <c r="G72" i="3"/>
  <c r="P165" i="3"/>
  <c r="P164" i="3" s="1"/>
  <c r="N92" i="3"/>
  <c r="O157" i="3"/>
  <c r="N156" i="3"/>
  <c r="K125" i="3"/>
  <c r="L126" i="3"/>
  <c r="I79" i="3"/>
  <c r="I78" i="3" s="1"/>
  <c r="I173" i="3"/>
  <c r="H172" i="3"/>
  <c r="G181" i="3"/>
  <c r="J203" i="3"/>
  <c r="K203" i="3" s="1"/>
  <c r="G112" i="3"/>
  <c r="N66" i="3"/>
  <c r="M65" i="3"/>
  <c r="P160" i="3"/>
  <c r="Q161" i="3"/>
  <c r="Q160" i="3" s="1"/>
  <c r="I114" i="3"/>
  <c r="H113" i="3"/>
  <c r="H112" i="3" s="1"/>
  <c r="J86" i="3"/>
  <c r="K87" i="3"/>
  <c r="L130" i="3"/>
  <c r="K129" i="3"/>
  <c r="N142" i="3"/>
  <c r="M141" i="3"/>
  <c r="J168" i="3"/>
  <c r="I167" i="3"/>
  <c r="M60" i="3"/>
  <c r="L59" i="3"/>
  <c r="L51" i="3" s="1"/>
  <c r="I104" i="3"/>
  <c r="J105" i="3"/>
  <c r="L121" i="3"/>
  <c r="K120" i="3"/>
  <c r="O92" i="3"/>
  <c r="P93" i="3"/>
  <c r="I148" i="3"/>
  <c r="H147" i="3"/>
  <c r="I183" i="3"/>
  <c r="H182" i="3"/>
  <c r="H181" i="3" s="1"/>
  <c r="O53" i="3"/>
  <c r="J195" i="3"/>
  <c r="K196" i="3"/>
  <c r="J189" i="3"/>
  <c r="K190" i="3"/>
  <c r="H73" i="3"/>
  <c r="I74" i="3"/>
  <c r="H98" i="3"/>
  <c r="I99" i="3"/>
  <c r="K234" i="3" l="1"/>
  <c r="K231" i="3"/>
  <c r="K228" i="3"/>
  <c r="J225" i="3"/>
  <c r="P236" i="3"/>
  <c r="Q236" i="3" s="1"/>
  <c r="R236" i="3" s="1"/>
  <c r="S236" i="3" s="1"/>
  <c r="K222" i="3"/>
  <c r="N44" i="3"/>
  <c r="J41" i="3"/>
  <c r="N32" i="3"/>
  <c r="R19" i="3"/>
  <c r="L7" i="3"/>
  <c r="N35" i="3"/>
  <c r="K47" i="3"/>
  <c r="P29" i="3"/>
  <c r="O38" i="3"/>
  <c r="Q165" i="3"/>
  <c r="Q164" i="3" s="1"/>
  <c r="H146" i="3"/>
  <c r="J202" i="3"/>
  <c r="J79" i="3"/>
  <c r="K79" i="3" s="1"/>
  <c r="J173" i="3"/>
  <c r="I172" i="3"/>
  <c r="L125" i="3"/>
  <c r="M126" i="3"/>
  <c r="M125" i="3" s="1"/>
  <c r="P157" i="3"/>
  <c r="P156" i="3" s="1"/>
  <c r="O156" i="3"/>
  <c r="L203" i="3"/>
  <c r="K202" i="3"/>
  <c r="L120" i="3"/>
  <c r="M121" i="3"/>
  <c r="J148" i="3"/>
  <c r="I147" i="3"/>
  <c r="N141" i="3"/>
  <c r="O142" i="3"/>
  <c r="O141" i="3" s="1"/>
  <c r="I182" i="3"/>
  <c r="I181" i="3" s="1"/>
  <c r="J183" i="3"/>
  <c r="J167" i="3"/>
  <c r="K168" i="3"/>
  <c r="J114" i="3"/>
  <c r="I113" i="3"/>
  <c r="I112" i="3" s="1"/>
  <c r="L190" i="3"/>
  <c r="K189" i="3"/>
  <c r="K105" i="3"/>
  <c r="J104" i="3"/>
  <c r="I98" i="3"/>
  <c r="J99" i="3"/>
  <c r="L196" i="3"/>
  <c r="K195" i="3"/>
  <c r="M59" i="3"/>
  <c r="N60" i="3"/>
  <c r="L129" i="3"/>
  <c r="M130" i="3"/>
  <c r="M129" i="3" s="1"/>
  <c r="I73" i="3"/>
  <c r="J74" i="3"/>
  <c r="Q93" i="3"/>
  <c r="P92" i="3"/>
  <c r="K86" i="3"/>
  <c r="L87" i="3"/>
  <c r="H72" i="3"/>
  <c r="P53" i="3"/>
  <c r="O66" i="3"/>
  <c r="N65" i="3"/>
  <c r="L234" i="3" l="1"/>
  <c r="L231" i="3"/>
  <c r="L228" i="3"/>
  <c r="K225" i="3"/>
  <c r="L222" i="3"/>
  <c r="O44" i="3"/>
  <c r="K41" i="3"/>
  <c r="O32" i="3"/>
  <c r="M7" i="3"/>
  <c r="O35" i="3"/>
  <c r="P35" i="3" s="1"/>
  <c r="L47" i="3"/>
  <c r="Q29" i="3"/>
  <c r="P38" i="3"/>
  <c r="J78" i="3"/>
  <c r="P26" i="3"/>
  <c r="S16" i="3"/>
  <c r="P23" i="3"/>
  <c r="I72" i="3"/>
  <c r="J172" i="3"/>
  <c r="K173" i="3"/>
  <c r="I146" i="3"/>
  <c r="P66" i="3"/>
  <c r="O65" i="3"/>
  <c r="J73" i="3"/>
  <c r="K74" i="3"/>
  <c r="L195" i="3"/>
  <c r="M196" i="3"/>
  <c r="K114" i="3"/>
  <c r="J113" i="3"/>
  <c r="J112" i="3" s="1"/>
  <c r="J147" i="3"/>
  <c r="K148" i="3"/>
  <c r="Q53" i="3"/>
  <c r="K99" i="3"/>
  <c r="K98" i="3" s="1"/>
  <c r="J98" i="3"/>
  <c r="L168" i="3"/>
  <c r="K167" i="3"/>
  <c r="M87" i="3"/>
  <c r="L86" i="3"/>
  <c r="O60" i="3"/>
  <c r="N59" i="3"/>
  <c r="K183" i="3"/>
  <c r="J182" i="3"/>
  <c r="J181" i="3" s="1"/>
  <c r="N121" i="3"/>
  <c r="M120" i="3"/>
  <c r="K104" i="3"/>
  <c r="L105" i="3"/>
  <c r="Q92" i="3"/>
  <c r="R93" i="3"/>
  <c r="R92" i="3" s="1"/>
  <c r="K78" i="3"/>
  <c r="L79" i="3"/>
  <c r="L189" i="3"/>
  <c r="M190" i="3"/>
  <c r="M203" i="3"/>
  <c r="L202" i="3"/>
  <c r="M234" i="3" l="1"/>
  <c r="M231" i="3"/>
  <c r="M228" i="3"/>
  <c r="L225" i="3"/>
  <c r="M222" i="3"/>
  <c r="M47" i="3"/>
  <c r="P44" i="3"/>
  <c r="L41" i="3"/>
  <c r="P32" i="3"/>
  <c r="J15" i="3"/>
  <c r="L15" i="3"/>
  <c r="K15" i="3"/>
  <c r="N7" i="3"/>
  <c r="R29" i="3"/>
  <c r="Q38" i="3"/>
  <c r="Q35" i="3"/>
  <c r="Q26" i="3"/>
  <c r="Q23" i="3"/>
  <c r="J146" i="3"/>
  <c r="K172" i="3"/>
  <c r="L173" i="3"/>
  <c r="M79" i="3"/>
  <c r="L78" i="3"/>
  <c r="L183" i="3"/>
  <c r="K182" i="3"/>
  <c r="K181" i="3" s="1"/>
  <c r="M168" i="3"/>
  <c r="L167" i="3"/>
  <c r="K113" i="3"/>
  <c r="K112" i="3" s="1"/>
  <c r="L114" i="3"/>
  <c r="M195" i="3"/>
  <c r="N196" i="3"/>
  <c r="P60" i="3"/>
  <c r="O59" i="3"/>
  <c r="M105" i="3"/>
  <c r="L104" i="3"/>
  <c r="R53" i="3"/>
  <c r="L74" i="3"/>
  <c r="L73" i="3" s="1"/>
  <c r="K73" i="3"/>
  <c r="K72" i="3" s="1"/>
  <c r="N203" i="3"/>
  <c r="M202" i="3"/>
  <c r="M86" i="3"/>
  <c r="N87" i="3"/>
  <c r="J72" i="3"/>
  <c r="M189" i="3"/>
  <c r="N190" i="3"/>
  <c r="L148" i="3"/>
  <c r="K147" i="3"/>
  <c r="N120" i="3"/>
  <c r="N112" i="3" s="1"/>
  <c r="O121" i="3"/>
  <c r="P65" i="3"/>
  <c r="Q66" i="3"/>
  <c r="N234" i="3" l="1"/>
  <c r="N231" i="3"/>
  <c r="N228" i="3"/>
  <c r="M225" i="3"/>
  <c r="N222" i="3"/>
  <c r="N47" i="3"/>
  <c r="Q44" i="3"/>
  <c r="M41" i="3"/>
  <c r="Q32" i="3"/>
  <c r="S29" i="3"/>
  <c r="O7" i="3"/>
  <c r="R38" i="3"/>
  <c r="S38" i="3" s="1"/>
  <c r="R35" i="3"/>
  <c r="S35" i="3" s="1"/>
  <c r="R26" i="3"/>
  <c r="R23" i="3"/>
  <c r="L172" i="3"/>
  <c r="M173" i="3"/>
  <c r="K146" i="3"/>
  <c r="M148" i="3"/>
  <c r="L147" i="3"/>
  <c r="O196" i="3"/>
  <c r="N195" i="3"/>
  <c r="O190" i="3"/>
  <c r="N189" i="3"/>
  <c r="L72" i="3"/>
  <c r="S53" i="3"/>
  <c r="M114" i="3"/>
  <c r="M113" i="3" s="1"/>
  <c r="M112" i="3" s="1"/>
  <c r="L113" i="3"/>
  <c r="L112" i="3" s="1"/>
  <c r="O87" i="3"/>
  <c r="N86" i="3"/>
  <c r="P121" i="3"/>
  <c r="O120" i="3"/>
  <c r="O112" i="3" s="1"/>
  <c r="N105" i="3"/>
  <c r="M104" i="3"/>
  <c r="M167" i="3"/>
  <c r="N168" i="3"/>
  <c r="N202" i="3"/>
  <c r="O203" i="3"/>
  <c r="Q60" i="3"/>
  <c r="P59" i="3"/>
  <c r="L182" i="3"/>
  <c r="L181" i="3" s="1"/>
  <c r="M183" i="3"/>
  <c r="Q65" i="3"/>
  <c r="R66" i="3"/>
  <c r="R65" i="3" s="1"/>
  <c r="N79" i="3"/>
  <c r="M78" i="3"/>
  <c r="O234" i="3" l="1"/>
  <c r="O231" i="3"/>
  <c r="O228" i="3"/>
  <c r="N225" i="3"/>
  <c r="O222" i="3"/>
  <c r="O47" i="3"/>
  <c r="R44" i="3"/>
  <c r="N41" i="3"/>
  <c r="M37" i="3"/>
  <c r="N37" i="3"/>
  <c r="O37" i="3"/>
  <c r="R32" i="3"/>
  <c r="P28" i="3"/>
  <c r="Q28" i="3"/>
  <c r="R28" i="3"/>
  <c r="S26" i="3"/>
  <c r="S23" i="3"/>
  <c r="R22" i="3"/>
  <c r="P7" i="3"/>
  <c r="K34" i="3"/>
  <c r="J34" i="3"/>
  <c r="L34" i="3"/>
  <c r="M34" i="3"/>
  <c r="N34" i="3"/>
  <c r="O34" i="3"/>
  <c r="L146" i="3"/>
  <c r="M72" i="3"/>
  <c r="N173" i="3"/>
  <c r="M172" i="3"/>
  <c r="O202" i="3"/>
  <c r="P203" i="3"/>
  <c r="O79" i="3"/>
  <c r="N78" i="3"/>
  <c r="N167" i="3"/>
  <c r="O168" i="3"/>
  <c r="P190" i="3"/>
  <c r="O189" i="3"/>
  <c r="Q59" i="3"/>
  <c r="R60" i="3"/>
  <c r="R59" i="3" s="1"/>
  <c r="Q121" i="3"/>
  <c r="P120" i="3"/>
  <c r="P112" i="3" s="1"/>
  <c r="M52" i="3"/>
  <c r="M51" i="3" s="1"/>
  <c r="N52" i="3"/>
  <c r="N51" i="3" s="1"/>
  <c r="O52" i="3"/>
  <c r="O51" i="3" s="1"/>
  <c r="P52" i="3"/>
  <c r="P51" i="3" s="1"/>
  <c r="Q52" i="3"/>
  <c r="P87" i="3"/>
  <c r="O86" i="3"/>
  <c r="M182" i="3"/>
  <c r="M181" i="3" s="1"/>
  <c r="N183" i="3"/>
  <c r="P196" i="3"/>
  <c r="O195" i="3"/>
  <c r="O105" i="3"/>
  <c r="N104" i="3"/>
  <c r="R52" i="3"/>
  <c r="M147" i="3"/>
  <c r="N148" i="3"/>
  <c r="P234" i="3" l="1"/>
  <c r="P231" i="3"/>
  <c r="P228" i="3"/>
  <c r="O225" i="3"/>
  <c r="P222" i="3"/>
  <c r="R25" i="3"/>
  <c r="P47" i="3"/>
  <c r="S44" i="3"/>
  <c r="O41" i="3"/>
  <c r="S32" i="3"/>
  <c r="R31" i="3"/>
  <c r="P25" i="3"/>
  <c r="Q25" i="3"/>
  <c r="P22" i="3"/>
  <c r="Q22" i="3"/>
  <c r="Q7" i="3"/>
  <c r="R51" i="3"/>
  <c r="N72" i="3"/>
  <c r="M146" i="3"/>
  <c r="S19" i="3"/>
  <c r="Q51" i="3"/>
  <c r="N172" i="3"/>
  <c r="O173" i="3"/>
  <c r="Q87" i="3"/>
  <c r="P86" i="3"/>
  <c r="O78" i="3"/>
  <c r="P79" i="3"/>
  <c r="O104" i="3"/>
  <c r="P105" i="3"/>
  <c r="Q203" i="3"/>
  <c r="Q202" i="3" s="1"/>
  <c r="P202" i="3"/>
  <c r="Q190" i="3"/>
  <c r="P189" i="3"/>
  <c r="Q196" i="3"/>
  <c r="P195" i="3"/>
  <c r="N182" i="3"/>
  <c r="N181" i="3" s="1"/>
  <c r="O183" i="3"/>
  <c r="N147" i="3"/>
  <c r="N146" i="3" s="1"/>
  <c r="O148" i="3"/>
  <c r="O167" i="3"/>
  <c r="P168" i="3"/>
  <c r="R121" i="3"/>
  <c r="R120" i="3" s="1"/>
  <c r="R112" i="3" s="1"/>
  <c r="Q120" i="3"/>
  <c r="Q112" i="3" s="1"/>
  <c r="Q234" i="3" l="1"/>
  <c r="Q231" i="3"/>
  <c r="Q228" i="3"/>
  <c r="P225" i="3"/>
  <c r="Q222" i="3"/>
  <c r="Q47" i="3"/>
  <c r="G43" i="3"/>
  <c r="K43" i="3"/>
  <c r="I43" i="3"/>
  <c r="H43" i="3"/>
  <c r="J43" i="3"/>
  <c r="L43" i="3"/>
  <c r="M43" i="3"/>
  <c r="N43" i="3"/>
  <c r="O43" i="3"/>
  <c r="P43" i="3"/>
  <c r="Q43" i="3"/>
  <c r="R43" i="3"/>
  <c r="P41" i="3"/>
  <c r="K31" i="3"/>
  <c r="G31" i="3"/>
  <c r="J31" i="3"/>
  <c r="I31" i="3"/>
  <c r="H31" i="3"/>
  <c r="L31" i="3"/>
  <c r="M31" i="3"/>
  <c r="N31" i="3"/>
  <c r="O31" i="3"/>
  <c r="P31" i="3"/>
  <c r="Q31" i="3"/>
  <c r="M18" i="3"/>
  <c r="O18" i="3"/>
  <c r="N18" i="3"/>
  <c r="P18" i="3"/>
  <c r="Q18" i="3"/>
  <c r="R7" i="3"/>
  <c r="P173" i="3"/>
  <c r="O172" i="3"/>
  <c r="P183" i="3"/>
  <c r="O182" i="3"/>
  <c r="O181" i="3" s="1"/>
  <c r="Q105" i="3"/>
  <c r="P104" i="3"/>
  <c r="Q168" i="3"/>
  <c r="P167" i="3"/>
  <c r="Q79" i="3"/>
  <c r="P78" i="3"/>
  <c r="Q195" i="3"/>
  <c r="R196" i="3"/>
  <c r="R195" i="3" s="1"/>
  <c r="O72" i="3"/>
  <c r="O147" i="3"/>
  <c r="P148" i="3"/>
  <c r="Q189" i="3"/>
  <c r="R190" i="3"/>
  <c r="R189" i="3" s="1"/>
  <c r="Q86" i="3"/>
  <c r="R87" i="3"/>
  <c r="R86" i="3" s="1"/>
  <c r="R234" i="3" l="1"/>
  <c r="R233" i="3" s="1"/>
  <c r="R231" i="3"/>
  <c r="R230" i="3" s="1"/>
  <c r="R228" i="3"/>
  <c r="R227" i="3" s="1"/>
  <c r="Q225" i="3"/>
  <c r="Q224" i="3" s="1"/>
  <c r="O146" i="3"/>
  <c r="R222" i="3"/>
  <c r="R47" i="3"/>
  <c r="Q41" i="3"/>
  <c r="S7" i="3"/>
  <c r="P72" i="3"/>
  <c r="P172" i="3"/>
  <c r="Q173" i="3"/>
  <c r="Q78" i="3"/>
  <c r="R79" i="3"/>
  <c r="R78" i="3" s="1"/>
  <c r="Q104" i="3"/>
  <c r="R105" i="3"/>
  <c r="R104" i="3" s="1"/>
  <c r="R168" i="3"/>
  <c r="R167" i="3" s="1"/>
  <c r="Q167" i="3"/>
  <c r="Q148" i="3"/>
  <c r="P147" i="3"/>
  <c r="Q183" i="3"/>
  <c r="P182" i="3"/>
  <c r="P181" i="3" s="1"/>
  <c r="Q221" i="3" l="1"/>
  <c r="H230" i="3"/>
  <c r="G227" i="3"/>
  <c r="H233" i="3"/>
  <c r="G230" i="3"/>
  <c r="G224" i="3"/>
  <c r="H227" i="3"/>
  <c r="H220" i="3" s="1"/>
  <c r="G233" i="3"/>
  <c r="H224" i="3"/>
  <c r="I227" i="3"/>
  <c r="I233" i="3"/>
  <c r="I230" i="3"/>
  <c r="I224" i="3"/>
  <c r="J227" i="3"/>
  <c r="J233" i="3"/>
  <c r="J230" i="3"/>
  <c r="J224" i="3"/>
  <c r="K230" i="3"/>
  <c r="K227" i="3"/>
  <c r="K233" i="3"/>
  <c r="K224" i="3"/>
  <c r="L227" i="3"/>
  <c r="L233" i="3"/>
  <c r="L230" i="3"/>
  <c r="M230" i="3"/>
  <c r="L224" i="3"/>
  <c r="M227" i="3"/>
  <c r="M233" i="3"/>
  <c r="N230" i="3"/>
  <c r="M224" i="3"/>
  <c r="N227" i="3"/>
  <c r="N220" i="3" s="1"/>
  <c r="N233" i="3"/>
  <c r="N224" i="3"/>
  <c r="O233" i="3"/>
  <c r="O230" i="3"/>
  <c r="O227" i="3"/>
  <c r="P230" i="3"/>
  <c r="O224" i="3"/>
  <c r="P233" i="3"/>
  <c r="P227" i="3"/>
  <c r="Q233" i="3"/>
  <c r="Q227" i="3"/>
  <c r="Q230" i="3"/>
  <c r="P224" i="3"/>
  <c r="R225" i="3"/>
  <c r="R224" i="3" s="1"/>
  <c r="P146" i="3"/>
  <c r="S228" i="3"/>
  <c r="R221" i="3"/>
  <c r="R220" i="3" s="1"/>
  <c r="S222" i="3"/>
  <c r="G221" i="3"/>
  <c r="H221" i="3"/>
  <c r="I221" i="3"/>
  <c r="J221" i="3"/>
  <c r="K221" i="3"/>
  <c r="L221" i="3"/>
  <c r="M221" i="3"/>
  <c r="N221" i="3"/>
  <c r="O221" i="3"/>
  <c r="P221" i="3"/>
  <c r="R41" i="3"/>
  <c r="G6" i="3"/>
  <c r="H6" i="3"/>
  <c r="I6" i="3"/>
  <c r="J6" i="3"/>
  <c r="K6" i="3"/>
  <c r="L6" i="3"/>
  <c r="M6" i="3"/>
  <c r="N6" i="3"/>
  <c r="O6" i="3"/>
  <c r="P6" i="3"/>
  <c r="Q6" i="3"/>
  <c r="R6" i="3"/>
  <c r="S47" i="3"/>
  <c r="R173" i="3"/>
  <c r="R172" i="3" s="1"/>
  <c r="Q172" i="3"/>
  <c r="R148" i="3"/>
  <c r="R147" i="3" s="1"/>
  <c r="Q147" i="3"/>
  <c r="R72" i="3"/>
  <c r="Q182" i="3"/>
  <c r="Q181" i="3" s="1"/>
  <c r="R183" i="3"/>
  <c r="R182" i="3" s="1"/>
  <c r="R181" i="3" s="1"/>
  <c r="Q72" i="3"/>
  <c r="L220" i="3" l="1"/>
  <c r="M220" i="3"/>
  <c r="I220" i="3"/>
  <c r="G220" i="3"/>
  <c r="J220" i="3"/>
  <c r="O220" i="3"/>
  <c r="K220" i="3"/>
  <c r="Q220" i="3"/>
  <c r="P220" i="3"/>
  <c r="S234" i="3"/>
  <c r="S231" i="3"/>
  <c r="S225" i="3"/>
  <c r="Q146" i="3"/>
  <c r="R146" i="3"/>
  <c r="G46" i="3"/>
  <c r="H46" i="3"/>
  <c r="I46" i="3"/>
  <c r="J46" i="3"/>
  <c r="K46" i="3"/>
  <c r="L46" i="3"/>
  <c r="M46" i="3"/>
  <c r="N46" i="3"/>
  <c r="O46" i="3"/>
  <c r="P46" i="3"/>
  <c r="Q46" i="3"/>
  <c r="R46" i="3"/>
  <c r="S41" i="3"/>
  <c r="G40" i="3" l="1"/>
  <c r="G5" i="3" s="1"/>
  <c r="H40" i="3"/>
  <c r="H5" i="3" s="1"/>
  <c r="I40" i="3"/>
  <c r="I5" i="3" s="1"/>
  <c r="J40" i="3"/>
  <c r="J5" i="3" s="1"/>
  <c r="K40" i="3"/>
  <c r="K5" i="3" s="1"/>
  <c r="L40" i="3"/>
  <c r="L5" i="3" s="1"/>
  <c r="M40" i="3"/>
  <c r="M5" i="3" s="1"/>
  <c r="N40" i="3"/>
  <c r="N5" i="3" s="1"/>
  <c r="O40" i="3"/>
  <c r="O5" i="3" s="1"/>
  <c r="P40" i="3"/>
  <c r="P5" i="3" s="1"/>
  <c r="Q40" i="3"/>
  <c r="Q5" i="3" s="1"/>
  <c r="R40" i="3"/>
  <c r="R5" i="3" s="1"/>
</calcChain>
</file>

<file path=xl/sharedStrings.xml><?xml version="1.0" encoding="utf-8"?>
<sst xmlns="http://schemas.openxmlformats.org/spreadsheetml/2006/main" count="510" uniqueCount="253">
  <si>
    <t>แผนปฏิบัติที่เกี่ยวข้องกับ Enabler RM &amp; IC ประจำปี 2569 
ฝ่ายบริหารความเสี่ยงองค์กร</t>
  </si>
  <si>
    <t>แผนงาน</t>
  </si>
  <si>
    <t>วัตถุประสงค์</t>
  </si>
  <si>
    <t>เป้าหมาย</t>
  </si>
  <si>
    <t>ตัวชี้วัด</t>
  </si>
  <si>
    <t>ปี 2569</t>
  </si>
  <si>
    <t>test</t>
  </si>
  <si>
    <t>ผู้รับผิดชอบ</t>
  </si>
  <si>
    <t>งบประมาณ
(ล้านบาท)</t>
  </si>
  <si>
    <t>KPI</t>
  </si>
  <si>
    <t>ผลการดำเนินงาน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</si>
  <si>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</si>
  <si>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</si>
  <si>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</si>
  <si>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</si>
  <si>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</si>
  <si>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</si>
  <si>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</si>
  <si>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</si>
  <si>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</si>
  <si>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</si>
  <si>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</si>
  <si>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</si>
  <si>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ไตรมาส 1</t>
  </si>
  <si>
    <t>ไตรมาส 2</t>
  </si>
  <si>
    <t>ไตรมาส 3</t>
  </si>
  <si>
    <t>ไตรมาส 4</t>
  </si>
  <si>
    <t>1. แผนปรับปรุงการบูรณาการการกำกับดูแลกิจการที่ดี การบริหารความเสี่ยง และการปฏิบัติตามกฎ ระเบียบ (GRC)</t>
  </si>
  <si>
    <t>-</t>
  </si>
  <si>
    <t xml:space="preserve">1.1 การปรับปรุงโครงสร้างการดำเนินงานด้าน GRC เพื่อการดำเนินงานระดับสายงาน </t>
  </si>
  <si>
    <t>ออกแบบและปรับโครงสร้างคณะทำงาน GRC</t>
  </si>
  <si>
    <t>1.2 โครงสร้างหน่วยงานที่ทำหน้าที่รับผิดชอบการกำกับดูแลด้าน IT Risk และ IT Compliance (รวมถึงระบบเทคโนโลยีดิจิทัล และ AI) (2nd line)</t>
  </si>
  <si>
    <t>วางแผนและปรับโครงสร้าง บทบาท หน้าที่</t>
  </si>
  <si>
    <t xml:space="preserve">1.3 การจัดทำ Risk Taxonomy เพื่อความสอดคล้องในการระบุ และจัดประเภทความเสี่ยง </t>
  </si>
  <si>
    <t>ออกแบบและพัฒนา Risk Taxonomy</t>
  </si>
  <si>
    <t>เอา Risk Dictionary มาปรับ -&gt; 
ประสานกับงานจ้างของ IC</t>
  </si>
  <si>
    <t>ได้ Draft Taxonomy ประมาณ ก.ค. - ส.ค.  
เสร็จ 30 ก.ย.</t>
  </si>
  <si>
    <t xml:space="preserve">1.4 การวิเคราะห์ตัวชี้วัดความเสี่ยง (KRI) เพื่อวิเคราะห์แนวโน้ม และคาดการณ์เหตุการณ์ความเสี่ยง </t>
  </si>
  <si>
    <t>ดำเนินการพร้อมกับการระบุความเสี่ยง ก.ค. - ส.ค.</t>
  </si>
  <si>
    <t>เก็บข้อมูลและวิเคราะห์แนวโน้ม KRI</t>
  </si>
  <si>
    <t>1.5 การสร้างวัฒนธรรม GRC ผ่าน GRC Survey และการสนทนากลุ่ม (Focus Group)</t>
  </si>
  <si>
    <t xml:space="preserve">กำหนดเป้าหมายและปรับปรุง GRC survey </t>
  </si>
  <si>
    <t>เตรียมข้อคำถามไว้ เพื่อประสานกันงาน Good  +  เตรียมประเด็นเรื่อง Focus Group เพื่อใส่ใน TOR</t>
  </si>
  <si>
    <t>เก็บผล GRC Survey นำร่องจัดทำ Focus group และการวิเคราะห์ผล</t>
  </si>
  <si>
    <t>1.6 การพัฒนากระบวนการจัดทำหลักสูตรอบรมโดยอ้างอิงความเสี่ยง (Risk-based training) และติดตามผลการอบรม</t>
  </si>
  <si>
    <t>ขอข้อมูล ฝอร. มา map กับรายการความเสี่ยง ปี 2569</t>
  </si>
  <si>
    <t>ปรับคู่มือ / SIPOC เกี่ยวกับการบริหารความเสี่ยง หลังผลประเมินความเสี่ยง</t>
  </si>
  <si>
    <t>วิเคราะห์และออกแบบหลักสูตรอบรม</t>
  </si>
  <si>
    <t>1.7 การเชื่อมโยงการปฏิบัติงานด้าน GRC กับสิ่งจูงใจ (Incentive) หรือผลการปฏิบัติงาน (Performance)</t>
  </si>
  <si>
    <t>รวบรวมข้อมูลและปรับปรุงเกณฑ์การประเมิน พิจารณาหารือร่วมกับ ฝทม. (กรณีผูกกับผลการปฏิบัติงาน)</t>
  </si>
  <si>
    <t>1.8 การปรับปรุงนโยบายการกำกับการปฏิบัติตามกฎ ระเบียบและจัดทำนโยบาย IT Third Party Risk Management</t>
  </si>
  <si>
    <t>ปรับปรุงและบังคับใช้นโยบาย</t>
  </si>
  <si>
    <t xml:space="preserve">1.9 การผลักดันให้มีหน่วยงานกลางกำกับและรวบรวมนโยบาย </t>
  </si>
  <si>
    <t xml:space="preserve">รวบรวมนโยบาย/แนวปฏิบัติและออกแบบกระบวนการกำกับดูแล </t>
  </si>
  <si>
    <t xml:space="preserve">1.10 การบูรณาการข้อมูลกระบวนงาน </t>
  </si>
  <si>
    <t>จัดทำข้อมูลกระบวนงานทั้งองค์กร</t>
  </si>
  <si>
    <t xml:space="preserve">1.11 การปรับแนวทางการประเมิน CSA </t>
  </si>
  <si>
    <t>ออกแบบหลักเกณฑ์และแนวทาง จัดทำ Test script จัดโครงการนำร่อง และปรับปรุงคู่มือฯ</t>
  </si>
  <si>
    <t>1.12 การจัดทำแนวทาง/เอกสารในการรวบรวมข้อมูลเหตุการณ์ (Incident information)</t>
  </si>
  <si>
    <t>รวบรวมข้อมูลเหตุการณ์ (Incident และ Near-miss) มาวิเคราะห์แนวโน้ม</t>
  </si>
  <si>
    <t>1.13 การพัฒนาเครื่องมือติดตามประสิทธิภาพการควบคุมอย่างต่อเนื่อง (Continuous Monitoring)</t>
  </si>
  <si>
    <t xml:space="preserve">วางแผนและขยายขอบเขต </t>
  </si>
  <si>
    <t>1.14 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</si>
  <si>
    <t>รวบรวมข้อมูลและจัดทำร่างทะเบียนกฎหมาย</t>
  </si>
  <si>
    <t>นำรายการกฎหมายเข้าระบบ Compliance Management System</t>
  </si>
  <si>
    <t>2. แผนปฏิบัติการบริหารความเสี่ยง และการบริหารความต่อเนื่องทางธุรกิจ</t>
  </si>
  <si>
    <t>แผนดำเนินการด้านการกำกับดูแลการบริหารความเสี่ยง</t>
  </si>
  <si>
    <t>เพื่อให้การดำเนินงานมีประสิทธิผล สอดคล้องและเป็นไปตามกรอบการดำเนินงานที่เป็นสากล</t>
  </si>
  <si>
    <t>กรอบการดำเนินงานด้านการบริหารความเสี่ยงเป็นมาตรฐานและเหมาะสมกับ กฟน.</t>
  </si>
  <si>
    <t>ความสำเร็จของผลการดำเนินงานแผนการดำเนินงานด้านการกำกับดูแลการบริหารความเสี่ยง ได้ร้อยละ 100</t>
  </si>
  <si>
    <t>งานบริหารความเสี่ยง / พี่หนึ่ง</t>
  </si>
  <si>
    <t xml:space="preserve">2.1.1 ทบทวนนโยบาย GRC </t>
  </si>
  <si>
    <t>พิจารณาผลการดำเนินการตามนโยบาย GRC ในปัจจุบัน</t>
  </si>
  <si>
    <t>ทบทวนนโยบาย GRC และปรับปรุงให้สอดคล้องกับบริบทของรัฐวิสาหกิจและมาตรฐานสากลที่เปลี่ยนแปลงไป</t>
  </si>
  <si>
    <t>นำเสนอผู้บริหาร เพื่อพิจารณาให้ความเห็นชอบ</t>
  </si>
  <si>
    <t>นำเสนอคณะอนุกรรมการฯ เพื่อพิจารณาให้ความเห็นชอบ</t>
  </si>
  <si>
    <t>นำเสนอคณะกรรมการ กฟน. เพื่อพิจารณาให้ความเห็นชอบ</t>
  </si>
  <si>
    <t>2.1.2 ทบทวนโครงสร้างและบทบาทหน้าที่ด้านการบริหารความเสี่ยง</t>
  </si>
  <si>
    <t>GRC Partner</t>
  </si>
  <si>
    <t xml:space="preserve">ทบทวนความสอดคล้องของโครงสร้างและบทบาทหน้าที่ด้านการบริหารความเสี่ยง การควบคุมภายใน และกระบวนการอื่นที่เกี่ยวข้อง </t>
  </si>
  <si>
    <t>นำเสนอคณะกรรมการ กฟน. เพื่อทราบ</t>
  </si>
  <si>
    <t>2.1.3 ทบทวนกรอบการดำเนินงานและคู่มือการบริหารความเสี่ยง</t>
  </si>
  <si>
    <t>พิจารณาข้อมูลจาก Feedback Report และแบบประเมินประสิทธิผลของปีก่อน</t>
  </si>
  <si>
    <t>ปรับปรุงคู่มือ</t>
  </si>
  <si>
    <t>ทบทวนกรอบการดำเนินงาน กระบวนการ และคู่มือการบริหารความเสี่ยง</t>
  </si>
  <si>
    <t>แผนการสร้างวัฒนธรรมการบริหารความเสี่ยง</t>
  </si>
  <si>
    <t>เพื่อให้กรรมการ ผู้บริหารพนักงานและลูกจ้างของ กฟน.รับทราบนโยบาย และมีการดำเนินงานโดยคำนึงถึงความเสี่ยง จนเป็นวัฒนธรรมองค์กร</t>
  </si>
  <si>
    <t>พนักงานทุกระดับตระหนักถึงความสำคัญของการบริหารความเสี่ยง และสามารถประยุกต์ใช้ขั้นตอนการบริหารความเสี่ยงในการปฏิบัติงานของตนได้</t>
  </si>
  <si>
    <t>- ผลการประเมินการรับรู้และทัศนคติด้านการบริหารความเสี่ยง ไม่ต่ำกว่าร้อยละ 75
- ระดับการรับรู้นโยบายฯ คู่มือฯ และ Raไม่ต่ำกว่าร้อยละ 90 
- ผลการประเมินโครงการ/กิจกรรมส่งเสริมแรงจูงใจด้านการบริหารความเสี่ยง (โครงการ MEA GRC Award ระดับมาก ทุกข้อคำถาม</t>
  </si>
  <si>
    <t>งานบริหารความเสี่ยง / แบม</t>
  </si>
  <si>
    <t>2.2.1 ทบทวน Competency / พฤติกรรมพึงประสงค์ด้านการบริหารความเสี่ยง กับผู้บริหาร และพนักงานที่เกี่ยวข้อง</t>
  </si>
  <si>
    <t>ทบทวน Competency  และแผนพัฒนาบุคลากร  / Certification (พนักงาน ฝบส.)</t>
  </si>
  <si>
    <t>ทบทวนพฤติกรรมที่พึงประสงค์ด้านการบริหารความเสี่ยงตามกลุ่มของพนักงาน</t>
  </si>
  <si>
    <t>ทบทวนหลักสูตร พร้อมให้ ฝอร. แจ้งการอบรม</t>
  </si>
  <si>
    <t>2.2.2 อบรมและพัฒนาพนักงานตาม Competency ที่กำหนด</t>
  </si>
  <si>
    <t xml:space="preserve">JMDP ที่เกี่ยวข้อง
Proactive Risk Management (6-8 พฤษภาคม 2569)
COSO ERM (15 - 16 และ 22 - 23 พฤษภาคม 2569)
</t>
  </si>
  <si>
    <t>ส่งพนักงาน ฝบส. เข้ารับการอบรมตามแผน</t>
  </si>
  <si>
    <t>สรุปผลการอบรมพนักงาน ฝบส. และประเมิน Competency Gap</t>
  </si>
  <si>
    <t>จัดทำแผนการฝึกอบรมและพัฒนาในปีถัดไป</t>
  </si>
  <si>
    <t>ดำเนินการตามแผนการอบรม/ให้ความรู้ด้านการบริหารความเสี่ยง แก่ผู้บริหารและพนักงาน</t>
  </si>
  <si>
    <t xml:space="preserve">ประเมินประสิทธิผลการจัดการอบรม/ให้ความรู้พนักงาน </t>
  </si>
  <si>
    <t>ทบทวนและจัดทำสื่อการสอน ข้อสอบ และประสานงาน ฝอร. ในการนำเข้าระบบ e-learning</t>
  </si>
  <si>
    <t>2.2.3 สื่อสารสร้างความตระหนักด้านการบริหารความเสี่ยง</t>
  </si>
  <si>
    <r>
      <rPr>
        <sz val="16"/>
        <color rgb="FF000000"/>
        <rFont val="Angsana New"/>
        <family val="1"/>
      </rPr>
      <t xml:space="preserve">คณะทำงานของ ฝบส. 
- </t>
    </r>
    <r>
      <rPr>
        <u/>
        <sz val="16"/>
        <color rgb="FF000000"/>
        <rFont val="Angsana New"/>
        <family val="1"/>
      </rPr>
      <t>แนวทางการปรับปรุง</t>
    </r>
    <r>
      <rPr>
        <sz val="16"/>
        <color rgb="FF000000"/>
        <rFont val="Angsana New"/>
        <family val="1"/>
      </rPr>
      <t xml:space="preserve"> เสริมสร้างการรับรู้ช่องทางการแจ้งเหตุที่เป็นความเสี่ยงอย่างเพียงพอ และครอบคลุมถึงพนักงานทุกกลุ่ม เพื่อนำข้อมูลการแจ้งเหตุฯ มาประกอบการวิเคราะห์ความเสี่ยงระดับองค์กรต่อไป :  </t>
    </r>
    <r>
      <rPr>
        <sz val="16"/>
        <color rgb="FFFF0000"/>
        <rFont val="Angsana New"/>
        <family val="1"/>
      </rPr>
      <t xml:space="preserve">กิจกรรมสื่อสาร + Risk Discovery ใน Have a good day (สัปดาห์ที่ 3) 
</t>
    </r>
    <r>
      <rPr>
        <sz val="16"/>
        <color rgb="FF000000"/>
        <rFont val="Angsana New"/>
        <family val="1"/>
      </rPr>
      <t xml:space="preserve">- </t>
    </r>
    <r>
      <rPr>
        <u/>
        <sz val="16"/>
        <color rgb="FF000000"/>
        <rFont val="Angsana New"/>
        <family val="1"/>
      </rPr>
      <t>แนวทางการปรับปรุง</t>
    </r>
    <r>
      <rPr>
        <sz val="16"/>
        <color rgb="FF000000"/>
        <rFont val="Angsana New"/>
        <family val="1"/>
      </rPr>
      <t xml:space="preserve"> เพิ่มการสื่อสารข้อมูลและการนำเครื่องมือ เกี่ยวกับการกำกับดูแลกิจการที่ดี การบริหารความเสี่ยง และการปฏิบัติตามกฎ ระเบียบ (GRC) เพื่อนำไปใช้สร้างความตระหนักเพิ่มเติม โดยมุ่งเน้นช่องทางที่ประสิทธิภาพในการสื่อสารสูงสุดจากผลสำรวจ ซึ่งสามารถครอบคลุมพนักงานโดยส่วนใหญ่ขององค์กร -</t>
    </r>
    <r>
      <rPr>
        <sz val="16"/>
        <color rgb="FFFF0000"/>
        <rFont val="Angsana New"/>
        <family val="1"/>
      </rPr>
      <t xml:space="preserve"> สื่อสารผ่านหัวหน้าหน่วยงาน ในงาน GRC Day</t>
    </r>
  </si>
  <si>
    <r>
      <t xml:space="preserve">เพิ่มตัวชี้วัด GRC Award ไปอยู่ในหัวข้อ E ในค่านิยม CHANGE 
</t>
    </r>
    <r>
      <rPr>
        <u/>
        <sz val="16"/>
        <color rgb="FF0070C0"/>
        <rFont val="Angsana New"/>
        <family val="1"/>
      </rPr>
      <t>ตัวชี้วัด</t>
    </r>
    <r>
      <rPr>
        <sz val="16"/>
        <color rgb="FF0070C0"/>
        <rFont val="Angsana New"/>
        <family val="1"/>
      </rPr>
      <t xml:space="preserve"> ผลการบริหารความเสี่ยงตัวชี้วัดที่สำคัญของสายงาน 
</t>
    </r>
    <r>
      <rPr>
        <u/>
        <sz val="16"/>
        <color rgb="FF0070C0"/>
        <rFont val="Angsana New"/>
        <family val="1"/>
      </rPr>
      <t>ค่าเป้าหมาย</t>
    </r>
    <r>
      <rPr>
        <sz val="16"/>
        <color rgb="FF0070C0"/>
        <rFont val="Angsana New"/>
        <family val="1"/>
      </rPr>
      <t xml:space="preserve"> ผลการบริหารความเสี่ยงอยู่ในระดับที่ยอมรับได้ทั้ง 9 สายงาน</t>
    </r>
  </si>
  <si>
    <t>จัดงาน GRC Day วันที่ 25 พฤษภาคม 2569 เชิญอนุกรรมการฯ คณะผู้บริหาร เข้าร่วม เพื่อเป็นต้นแบบและสร้างบรรยากาศ</t>
  </si>
  <si>
    <t>ประสานงาน ฝทม. ในการสื่อสาร/ผลักดันให้เกิดพฤติกรรมที่พึงประสงค์</t>
  </si>
  <si>
    <t>สื่อสาร/ชี้แจงในงาน GRC Day</t>
  </si>
  <si>
    <t>ผู้บริหารเป็นผู้นำต้นแบบและสร้างบรรยากาศ</t>
  </si>
  <si>
    <t>พัฒนาพฤติกรรม ตามพฤติกรรมพึงประสงค์ด้านการบริหารความเสี่ยง กับผู้บริหาร และพนักงานที่เกี่ยวข้อง ผ่านการสื่อสารในช่องทางที่กำหนด</t>
  </si>
  <si>
    <t>2.2.4 สำรวจความตระหนักและทัศนคติเกี่ยวกับการบริหารความเสี่ยง</t>
  </si>
  <si>
    <t>ตั้งเป้า สำรวจ มิ.ย. - ก.ค.  GRC Survey ใครจะร่วมก็ร่วม ไม่บังคับจำนวน  / แจกของรางวัลดีๆ / หารือในฝ่ายเกี่ยวกับการจัดหาของรางวัล</t>
  </si>
  <si>
    <t>รวมกับที่ปรึกษา SASIN แล้วเสร็จภายใน พ.ย.</t>
  </si>
  <si>
    <t>ทบทวนข้อคำถามและจัดทำแบบสอบถาม</t>
  </si>
  <si>
    <t>สำรวจความตระหนักและทัศนคติเกี่ยวกับการบริหารความเสี่ยง</t>
  </si>
  <si>
    <t>สรุปผลการสำรวจความตระหนักและทัศนคติ</t>
  </si>
  <si>
    <t>ประเมินประสิทธิผลและกำหนดแนวทางการปรับปรุงการดำเนินงาน</t>
  </si>
  <si>
    <t>2.2.5 ทบทวนการจัดทำการเชื่อมโยง KPI  กับผลการดำเนินงานด้านการบริหารความเสี่ยงของแต่ละสายงาน</t>
  </si>
  <si>
    <t>เพิ่มเติมประเด็นอื่นๆ G C แจ้ง ฝทม. ไปพร้อมๆ กัน</t>
  </si>
  <si>
    <t xml:space="preserve">ตัวอย่าง KPI แยกตามสายงานที่เชื่อมโยงกับการบริหารความเสี่ยง สายงานและรายบุคคลไม่ควรเป็นตัวชี้วัดเดียวกัน </t>
  </si>
  <si>
    <t>ต้องหารือเนื่องจากเป็น OFI ใน Feedback Report ปี 2568
โดยผลักดันให้ ฝทม. เป็นผู้ร่วมตอบคำถาม SE-AM</t>
  </si>
  <si>
    <t>ทบทวนโครงสร้าง KPI สายงาน เชื่อมโยงผลการบริหารความเสี่ยงใน KPI ผู้บริหารสายงาน ร่วมกับ ฝทม.</t>
  </si>
  <si>
    <t>กำหนดแนวทางเชื่อมโยงผลการบริหารความเสี่ยงองค์กร/สายงาน/หน่วยงาน</t>
  </si>
  <si>
    <t>ถ่ายทอดลงสูระดับสายงาน/หน่วยงาน สอดคล้องกับการประเมินผลองค์กร</t>
  </si>
  <si>
    <t xml:space="preserve">2.2.6 ดำเนินการตามโครงการ MEA GRC Award เพื่อบูรณาการการบริหารความเสี่ยงกับผลตอบแทน/แรงจูงใจ
</t>
  </si>
  <si>
    <t>เพิ่มหัวข้อในการประเมินให้เป็น GRC Award + คุยกับ G C</t>
  </si>
  <si>
    <t>เจ้นท์ / แบม</t>
  </si>
  <si>
    <t xml:space="preserve">เซ็นสัญญาเดือน มีนาคม </t>
  </si>
  <si>
    <t>ชี้แจง จัดอบรมให้ความรู้แก่สายงาน เมื่อวันที่ 24 เมษายน 2569</t>
  </si>
  <si>
    <t>จัดจ้างที่ปรึกษา</t>
  </si>
  <si>
    <t>ชี้แจงการเข้าร่วมโครงการ</t>
  </si>
  <si>
    <t>ดำเนินการตามโครงการและให้คำปรึกษาแก่สายงาน</t>
  </si>
  <si>
    <t>ประเมินคะแนนและประกาศผล</t>
  </si>
  <si>
    <t>นำเสนอผู้บริหารเพื่อทราบผลการประเมิน</t>
  </si>
  <si>
    <t>แผนการบูรณาการกับการจัดทำแผนวิสาหกิจและแผนแม่บทอื่น</t>
  </si>
  <si>
    <t>เพื่อการบริหารความเสี่ยงเป็นส่วนหนึ่งของการวางแผนยุทธศาสตร์</t>
  </si>
  <si>
    <t>ระดับความรุนแรงของรายการความเสี่ยงที่เกี่ยวข้องกับแผนยุทธศาสตร์องค์กรลดลง</t>
  </si>
  <si>
    <t>- ผลการสื่อสาร/ถ่ายทอด RA RT ต่อผู้มีส่วนได้ส่วนเสียที่เกี่ยวข้อง ครบถ้วนทุกกลุ่มที่เกี่ยวข้อง และสอดคล้องตามปัจจัยเสี่ยง
- ร้อยละของแผนปฏิบัติการเชิงยุทธศาสตร์ที่ได้รับการประเมินความเสี่ยง ร้อยละ 100</t>
  </si>
  <si>
    <t>งานบริหารความเสี่ยง / เป็ด</t>
  </si>
  <si>
    <t>2.3.1 ทบทวนหลักการกำหนด RA/RT และ RA Statement พร้อมสื่อสารให้แก่ผู้มีส่วนได้ส่วนเสีย</t>
  </si>
  <si>
    <t>สื่อสาร RA/RT คู่มือ นโยบาย ไป 57 หน่วยงาน - CA พร้อมให้กดรับทราบและนำไปสื่อสารต่อในหน่วยงาน</t>
  </si>
  <si>
    <t xml:space="preserve">เสนอผู้บริหาร เมื่อวันที่ 28 เมษายน 2569
สื่อสาร RA พร้อมปัจจัยยั่งยืน (Supply Chain Management)
พร้อมชี้แจงยุทธศาสตร์ แผนแม่บท </t>
  </si>
  <si>
    <t>มีเกณฑ์ประเมินความเสี่ยงในทุก RA</t>
  </si>
  <si>
    <t>ทบทวนหลักการกำหนด RA/RT และ RA Statement</t>
  </si>
  <si>
    <t>พิจารณาเป้าหมายของ SO Goal KPI</t>
  </si>
  <si>
    <t>กำหนด RA/RT ให้สอดคล้องกับเป้าหมายขององค์กร และเป้าหมายของแผนแม่บท</t>
  </si>
  <si>
    <t xml:space="preserve">ชี้แจง RA/RT ให้แผนแม่บท และ สื่อสารให้บุคลากรภายในทราบ </t>
  </si>
  <si>
    <t>2.3.2 ระบุ Emerging Risk เป็นข้อมูลนำเข้าในการวิเคราะห์สภาพแวดล้อม</t>
  </si>
  <si>
    <t>กำหนด Indicator บางตัวสำหรับเป็น Pilot ในจัดการ/ติดตาม Emerging risk</t>
  </si>
  <si>
    <t>ส่งแล้ว</t>
  </si>
  <si>
    <t xml:space="preserve">สรุปข้อมูลผลการดำเนินงานด้านการบริหารความเสี่ยงของปีที่ผ่านมา </t>
  </si>
  <si>
    <t xml:space="preserve">วิเคราะห์ข้อมูล Emerging Risk / ESG Risk </t>
  </si>
  <si>
    <t>นำส่งข้อมูลให้ ฝผก. เพื่อเป็นข้อมูลนำเข้าในการวิเคราะห์สภาพแวดล้อม</t>
  </si>
  <si>
    <t xml:space="preserve">2.3.3 ระบุ Intelligent Risk ที่อาจส่งผลต่อบรรลุเป้าหมายในแต่ละตำแหน่งเชิงยุทธศาสตร์ขององค์กร </t>
  </si>
  <si>
    <t>เหมือนเดิม</t>
  </si>
  <si>
    <t>วิเคราะห์ Intelligent Risk หรือ วิเคราะห์ความเสี่ยงเพื่อเข้าถึงโอกาสทางธุรกิจ โดยมีการกำหนด Business Model และระบุ Intelligent Risk ที่อาจส่งผลต่อบรรลุเป้าหมายในแต่ละตำแหน่งเชิงยุทธศาสตร์ขององค์กร</t>
  </si>
  <si>
    <t>จัดทำข้อมูล Emerging Risk, Intelligent Risk ประกอบเล่มแผนวิสาหกิจการไฟฟ้านครหลวง โดยอาจจัดทำภาคผนวก บทวิเคราะห์ความเสี่ยง แสดงความเชื่อมโยงการบริหารความเสี่ยง (Risk Appetite Intelligent Risk ปัจจัยเสี่ยง SO ความเสี่ยงของเแผนปฏิบัติเชิงยุทธศาสตร์) และการจัดทำแผนยุทธศาสตร์</t>
  </si>
  <si>
    <t>2.3.4 ระบุและวิเคราะห์ความเสี่ยงที่อาจส่งผลต่อการบรรลุวัตถุประสงค์เชิงยุทธศาสตร์ (SO)</t>
  </si>
  <si>
    <t xml:space="preserve">แจ้ง workshop </t>
  </si>
  <si>
    <t>ระบุและวิเคราะห์ความเสี่ยงที่อาจส่งผลต่อการบรรลุวัตถุประสงค์เชิงยุทธศาสตร์ (SO)</t>
  </si>
  <si>
    <t>นำข้อมูลความเสี่ยงเข้า Risk Inventory</t>
  </si>
  <si>
    <t xml:space="preserve">2.3.5 ทบทวนแบบฟอร์มและเกณฑ์การประเมินความเสี่ยงและ ประสิทธิผลของการควบคุมของแผน AP และแผนแม่บทที่เกี่ยวข้อง   </t>
  </si>
  <si>
    <t>รอดู workshop วันที่ 10 ม.ค.</t>
  </si>
  <si>
    <t>ทบทวนแบบฟอร์มและเกณฑ์การประเมินความเสี่ยง AP และ ประสิทธิผลของการควบคุม และแผนแม่บทที่เกี่ยวข้อง</t>
  </si>
  <si>
    <t>2.3.6 สื่อสารแบบฟอร์มการประเมินความเสี่ยง และหลักเกณฑ์การประเมินความเพียงพอของการควบคุมภายใน</t>
  </si>
  <si>
    <t>อยู่ใน AP Kickoff</t>
  </si>
  <si>
    <t>สื่อสารแบบฟอร์มการประเมินความเสี่ยง และหลักเกณฑ์การประเมินความเพียงพอของการควบคุมภายใน</t>
  </si>
  <si>
    <t>หน่วยงานเจ้าของแผนฯ วิเคราะห์ ระบุ และประเมินความเสี่ยงของแผนปฏิบัติการ พร้อมกำหนดมาตรการจัดการความเสี่ยง ในกรณีที่ความเสี่ยงอยู่ในระดับที่ไม่สามารถยอมรับได้</t>
  </si>
  <si>
    <t>พิจารณาความเสี่ยงที่สำคัญเป็นปัจจัยนำเข้าในกระบวนการบริหารความเสี่ยงองค์กร</t>
  </si>
  <si>
    <t xml:space="preserve"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 </t>
  </si>
  <si>
    <t>ทบทวนแนวทางการทบทวนความเสี่ยงสำหรับ AP ที่ดำเนินการปี 68</t>
  </si>
  <si>
    <t>ประสานงานกับ AP Owner ในการทบทวนการประเมินความเสี่ยง</t>
  </si>
  <si>
    <t>ติดตามข้อมูลผลการประเมินฯ และให้ข้อเสนอแนะในการกำหนดมาตรการจัดการความเสี่ยง (ถ้ามี)</t>
  </si>
  <si>
    <t>ประเมินประสิทธิผลของการวิเคราะห์ความเสี่ยงของ AP และนำข้อมูลไปใช้เพื่อปรับปรุงกระบวนการฯ</t>
  </si>
  <si>
    <t>แผนดำเนินการตามกระบวนการบริหารความเสี่ยงองค์กร</t>
  </si>
  <si>
    <t>เพื่อให้มีการบริหารความเสี่ยงที่เหมาะสมกับสภาพแวดล้อมที่เปลี่ยนแปลง</t>
  </si>
  <si>
    <t>ระบบการบริหารความเสี่ยงที่มีประสิทธิผล</t>
  </si>
  <si>
    <t>- แผนบริหารความเสี่ยงองค์กร ได้รับความเห็นชอบ/รับทราบจากคณะกรรมการ กฟน. ภายในเดือนธันวาคม (ก่อนเริ่มปีบัญชี)
- ระบบเทคโนโลยีดิจิทัลที่สนับสนุนการเก็บรวบรวมข้อมูล การรายงานและวิเคราะห์ระดับความรุนแรง และระบบ  Early Warning System ใช้งานได้จริง และข้อมูลมีความทันกาล</t>
  </si>
  <si>
    <t>งานบริหารความเสี่ยง</t>
  </si>
  <si>
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</si>
  <si>
    <t>- หาเวลานัดประชุมกับ ฝปภ. และ ฟข. เรื่องแผนฉุกเฉินกรณีเกิดเหตุความไม่ปลอดภัย
- ประเมิน/ทบทวนสถานการณ์ความเสี่ยงระหว่างกาล ก.พ. 
1)  Cyber
2)  Safety
3)  UG
4)  คน</t>
  </si>
  <si>
    <t>ติดตามสถานการณ์ภายในและภายนอก เพื่อระบุความเสี่ยง</t>
  </si>
  <si>
    <t>ทบทวนเกณฑ์การประเมินความเสี่ยงและการควบคุม</t>
  </si>
  <si>
    <t xml:space="preserve">2.4.2 คัดเลือกปัจจัยเสี่ยงระดับองค์กร พร้อมวิเคราะห์ Leading / Lagging Indicator ของแต่ละความเสี่ยง </t>
  </si>
  <si>
    <t>จัดทำข้อมูลการวิเคราะห์ความเสี่ยงระดับองค์กร</t>
  </si>
  <si>
    <t xml:space="preserve">วิเคราะห์ Leading / Lagging Indicator ของแต่ละความเสี่ยง </t>
  </si>
  <si>
    <t>2.4.3 จัดให้มีการประเมินความเสี่ยง และสื่อสารความเสี่ยงต่อผู้รับผิดชอบ</t>
  </si>
  <si>
    <t xml:space="preserve">จัดให้มีการประเมินความเสี่ยง </t>
  </si>
  <si>
    <t>สื่อสารความเสี่ยงต่อผู้รับผิดชอบ</t>
  </si>
  <si>
    <t>2.4.4 พิจารณาและคัดเลือกวิธีการจัดการความเสี่ยง พร้อมทั้ง วิเคราะห์และจัดทำ Risk Correlation Map/Portfolio View of Risk</t>
  </si>
  <si>
    <t>จ้างมาทำ Portfolio View of Risk</t>
  </si>
  <si>
    <t xml:space="preserve">พิจารณาและคัดเลือกวิธีการจัดการความเสี่ยง </t>
  </si>
  <si>
    <t>วิเคราะห์และจัดทำ Risk Correlation Map/Portfolio View of Risk</t>
  </si>
  <si>
    <t>2.4.5 จัดทำแผนบริหารความเสี่ยง และทบทวนแผนบริหารความเสี่ยงของปีถัดไป</t>
  </si>
  <si>
    <t>ประสานงานกับ Risk Owner เพื่อจัดทำแผนบริหารความเสี่ยงองค์กร และนำเสนอขอความเห็นชอบ</t>
  </si>
  <si>
    <t>2.4.6 ติดตามและรายงานผลการบริหารความเสี่ยงและการควบคุมของความเสี่ยงปีปัจจุบัน</t>
  </si>
  <si>
    <t>- ชี้แจงการรายงานผลการบริหารความเสี่ยงองค์กร ปี 2569 ให้แก่ Risk Owner เมื่อวันที่ 30 มกราคม 2569 เอกสารประกอบ -&gt; https://meacloud.sharepoint.com/:b:/s/RiskManagementTeam/IQDi3GYYcpGaSrfPSGoC5DxGAU_Ski18Sbj715M_DA9czig?e=cgoDZJ</t>
  </si>
  <si>
    <t xml:space="preserve"> ติดตามและรายงานผลการบริหารความเสี่ยงและการควบคุมของความเสี่ยงปีปัจจุบัน</t>
  </si>
  <si>
    <t>นำเข้าข้อมูลเข้า Dashboard</t>
  </si>
  <si>
    <t>จัดทำวิเคราะห์ผลการดำเนินงานการบริหารความเสี่ยง รายไตรมาส และรายปี</t>
  </si>
  <si>
    <t xml:space="preserve">2.4.7 พัฒนาระบบเทคโนโลยีดิจิทัลเพื่อสนับสนุนกระบวนการบริหารความเสี่ยง และระบบเตือนภัยล่วงหน้า </t>
  </si>
  <si>
    <t>Pilot ที่บูรณาการกับ ฝผก.</t>
  </si>
  <si>
    <t>ร่วมกับ ฝผก. กำหนดขั้นตอนและจัดทำระบบในการแจ้งเตือนภัยล่วงหน้าสำหรับแผน AP นำร่อง</t>
  </si>
  <si>
    <t>2.4.8 ทบทวน ประเมินประสิทธิผล และปรับปรุงกระบวนการบริหารความเสี่ยง</t>
  </si>
  <si>
    <t>ทบทวนผลการดำเนินงานของแผนบริหารความเสี่ยง</t>
  </si>
  <si>
    <t>ทบทวนผลการดำเนินงานตามกระบวนการบริหารความเสี่ยง</t>
  </si>
  <si>
    <t>บูรณาการการปรับปรุงกระบวนบริหารความเสี่ยงกับกระบวนการอื่นที่เกี่ยวข้อง</t>
  </si>
  <si>
    <t>กำหนดแนวทางการปรับปรุง และจัดทำแผนฯ ในปีถัดไป</t>
  </si>
  <si>
    <t>แผนการดำเนินการตามระบบ BCMS</t>
  </si>
  <si>
    <t>เพื่อให้ระบบบริหารความต่อเนื่องทางธุรกิจของการไฟฟ้านครหลวง มีความสอดคล้องกับกฎหมาย ระเบียบ ข้อบังคับ และมาตรฐานสากลด้านความต่อเนื่องทางธุรกิจ</t>
  </si>
  <si>
    <t>ระบบบริหารความต่อเนื่องทางธุรกิจสอดคล้องกับมาตรฐาน</t>
  </si>
  <si>
    <t>- ไม่พบประเด็นความไม่สอดคล้องในระดับ Major
- ผลประเมินการรับรู้กระบวนการบริหารความต่อเนื่องทางธุรกิจของผู้รับผิดชอบ พนักงาน ผู้ส่งมอบ คู่ค้า ลูกค้า และผู้มีส่วนได้ส่วนเสียที่เกี่ยวข้อง ไม่ต่ำกว่าร้อยละ 80</t>
  </si>
  <si>
    <t>2.5.1 วิเคราะห์ผลกระทบทางธุรกิจ ประเมินความเสี่ยง ทบทวนกลยุทธ์ และ BCP</t>
  </si>
  <si>
    <t>ปลาย ก.พ. ประชุม คณะผู้บริหาร BCMS + คณะทำงาน BCMS
- ตั้งเป้า 4 รุ่น รุ่นละ 1 วัน</t>
  </si>
  <si>
    <t>ทบทวนแบบฟอร์มและขั้นตอนการวิเคราะห์ผลกระทบทางธุรกิจและประเมินความเสี่ยง</t>
  </si>
  <si>
    <t>จัดการประชุมเชิงปฏิบัติการร่วมกับหน่วยงานเพื่อวิเคราะห์และประเมินฯ และทบทวนกลยุทธ์</t>
  </si>
  <si>
    <t>รวบรวมข้อมูลผลการวิเคราะห์/ประเมิน นำเสนอผู้บริหาร</t>
  </si>
  <si>
    <t>ประสานงานหน่วยงานในการทบทวน/จัดทำ BCP</t>
  </si>
  <si>
    <t>รวบรวม BCP นำเสนอคณะผู้บริหาร/คณะกรรมการที่เกี่ยวข้อง</t>
  </si>
  <si>
    <t>2.5.2 ติดตามและเข้าร่วมฝึกซ้อม BCP ของหน่วยงาน</t>
  </si>
  <si>
    <t>แจ้งหน่วยงานกำหนดแผนการฝึกซ้อมประจำปี</t>
  </si>
  <si>
    <t>รวบรวบแผนการฝึกซ้อมและวิเคราะห์ความจำเป็นในการเข้าร่วมสังเกตการณ์การฝึกซ้อม</t>
  </si>
  <si>
    <t>เข้าร่วมสังเกตการณ์การฝึกซ้อมตามที่กำหนด</t>
  </si>
  <si>
    <t>สรุปผลการสังเกตการณ์ฝึกซ้อมและรายงานแก่ผู้ที่เกี่ยวข้อง</t>
  </si>
  <si>
    <t xml:space="preserve">2.5.3 ฝึกซ้อมสถานการณ์ใหญ่ </t>
  </si>
  <si>
    <t>รวบรวมและวิเคราะห์ข้อมูลเพื่อกำหนดสถานการณ์ในการฝึกซ้อม</t>
  </si>
  <si>
    <t>จัดทำแผนการฝึกซ้อมสถานการณ์ใหญ่นำเสนอผู้ที่เกี่ยวข้อง</t>
  </si>
  <si>
    <t>ประชุม/ประสานงานกับหน่วยงานที่เกี่ยวข้องเพื่อเตรียมการฝึกซ้อม</t>
  </si>
  <si>
    <t>จัดการฝึกซ้อมสถานการณ์ใหญ่ประจำปี</t>
  </si>
  <si>
    <t>จัดทำสรุปผลการฝึกซ้อม และแนวทางการปรับปรุงการดำเนินงาน</t>
  </si>
  <si>
    <t>2.5.4 สร้างความตระหนักและสื่อสารข้อมูลเกี่ยวกับการบริหารความต่อเนื่องทางธุรกิจ</t>
  </si>
  <si>
    <t>ถอดบทเรียน</t>
  </si>
  <si>
    <t xml:space="preserve">รวบรวมข้อมูลบทเรียนจากสถานการณ์จริง/การอบรมต่าง ๆ </t>
  </si>
  <si>
    <t>จัดทำบทวิเคราะห์/ข้อมูลเผยแพร่แก่กลุ่มเป้าหมาย</t>
  </si>
  <si>
    <t>ดำเนินการสื่อสารตามช่องทางที่กำหนด</t>
  </si>
  <si>
    <t>ประเมินผลการสร้างความตระหนักและสื่อสาร</t>
  </si>
  <si>
    <t xml:space="preserve">จ้าง IA  หารือเรื่องการจ้างตรวจประเมินภายนอก </t>
  </si>
  <si>
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</si>
  <si>
    <t>ประสานงานผู้ตรวจประเมินภายใน/ที่ปรึกษาในการจัดทำ Audit Plan</t>
  </si>
  <si>
    <t>ดำเนินการตรวจประเมินภายในตามแผนที่กำหนด</t>
  </si>
  <si>
    <t>จัดทำสรุปผลการตรวจประเมิน และแจ้งผลแก่หน่วยงานที่เกี่ยวข้อง</t>
  </si>
  <si>
    <t>ติดตามผลการปรับปรุง/แก้ไขตามผลการตรวจประเมิน</t>
  </si>
  <si>
    <t>ประสานงานกับ CB ในการตรวจประเมินเพื่อขอการรับรอง</t>
  </si>
  <si>
    <t>ประสานงานกับหน่วยรับตรวจ เพื่อเตรียมการตรวจประเมิน</t>
  </si>
  <si>
    <t>ดำเนินการตรวจประเมินตามที่กำหนด</t>
  </si>
  <si>
    <t>แจ้งผลการตรวจประเมินแก่หน่วยงานที่เกี่ยวข้อง</t>
  </si>
  <si>
    <t>ทบทวนผลการดำเนินงาน และกำหนดแนวทางการปรับปรุงในปีถัดไป</t>
  </si>
  <si>
    <t>3. แผนปรับปรุงองค์กรด้าน RM &amp; IC  ปี 2569</t>
  </si>
  <si>
    <t>3.1 ปรับปรุงฐานข้อมูลที่ใช้ในการวิเคราะห์และติดตามการดำเนินงานแบบบูรณาการในกระบวนการทำงานที่สำคัญ</t>
  </si>
  <si>
    <t>3.2 ใช้งานระบบ GRC เพื่อสนับสนุนการทำงานให้ลดความซับซ้อน ลดระยะเวลา และมีความถูกต้องแม่นยำ</t>
  </si>
  <si>
    <t xml:space="preserve">3.3 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 </t>
  </si>
  <si>
    <t>3.4 กำหนดกระบวนการในการวิเคราะห์ถึงภาพรวมของความเสี่ยง (Portfolio View of Risk)</t>
  </si>
  <si>
    <t xml:space="preserve">3.5 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</si>
</sst>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name val="Angsana New"/>
      <family val="1"/>
    </font>
    <font>
      <b/>
      <sz val="22"/>
      <color theme="1"/>
      <name val="Angsana New"/>
      <family val="1"/>
    </font>
    <font>
      <b/>
      <sz val="16"/>
      <color theme="0"/>
      <name val="Angsana New"/>
      <family val="1"/>
    </font>
    <font>
      <sz val="16"/>
      <color rgb="FF000000"/>
      <name val="Angsana New"/>
      <family val="1"/>
    </font>
    <font>
      <sz val="16"/>
      <name val="Angsana New"/>
      <family val="1"/>
    </font>
    <font>
      <sz val="16"/>
      <color rgb="FFFF0000"/>
      <name val="Angsana New"/>
      <family val="1"/>
    </font>
    <font>
      <sz val="16"/>
      <color rgb="FF434343"/>
      <name val="Angsana New"/>
      <family val="1"/>
    </font>
    <font>
      <u/>
      <sz val="16"/>
      <color rgb="FF000000"/>
      <name val="Angsana New"/>
      <family val="1"/>
    </font>
    <font>
      <sz val="16"/>
      <color theme="0"/>
      <name val="Angsana New"/>
      <family val="1"/>
    </font>
    <font>
      <b/>
      <sz val="20"/>
      <color theme="1"/>
      <name val="Angsana New"/>
      <family val="1"/>
    </font>
    <font>
      <b/>
      <sz val="16"/>
      <color rgb="FF000000"/>
      <name val="Angsana New"/>
      <family val="1"/>
    </font>
    <font>
      <b/>
      <sz val="24"/>
      <color theme="1"/>
      <name val="Angsana New"/>
      <family val="1"/>
    </font>
    <font>
      <sz val="16"/>
      <color rgb="FF0070C0"/>
      <name val="Angsana New"/>
      <family val="1"/>
    </font>
    <font>
      <b/>
      <sz val="16"/>
      <color rgb="FF0070C0"/>
      <name val="Angsana New"/>
      <family val="1"/>
    </font>
    <font>
      <sz val="16"/>
      <color theme="8" tint="0.39997558519241921"/>
      <name val="Angsana New"/>
      <family val="1"/>
    </font>
    <font>
      <b/>
      <sz val="16"/>
      <color theme="3" tint="0.249977111117893"/>
      <name val="Angsana New"/>
      <family val="1"/>
    </font>
    <font>
      <b/>
      <sz val="18"/>
      <color theme="0"/>
      <name val="Angsana New"/>
      <family val="1"/>
    </font>
    <font>
      <b/>
      <sz val="16"/>
      <color theme="4"/>
      <name val="Angsana New"/>
      <family val="1"/>
    </font>
    <font>
      <b/>
      <sz val="20"/>
      <color rgb="FF0070C0"/>
      <name val="Angsana New"/>
      <family val="1"/>
    </font>
    <font>
      <u/>
      <sz val="16"/>
      <color rgb="FF0070C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6DCD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vertical="top" wrapText="1"/>
    </xf>
    <xf numFmtId="0" fontId="3" fillId="4" borderId="32" xfId="0" applyFont="1" applyFill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4" borderId="27" xfId="0" applyFont="1" applyFill="1" applyBorder="1" applyAlignment="1">
      <alignment vertical="top" wrapText="1"/>
    </xf>
    <xf numFmtId="0" fontId="3" fillId="4" borderId="27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31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1" xfId="0" applyFont="1" applyBorder="1" applyAlignment="1">
      <alignment vertical="top" wrapText="1"/>
    </xf>
    <xf numFmtId="164" fontId="2" fillId="0" borderId="31" xfId="1" applyNumberFormat="1" applyFont="1" applyBorder="1" applyAlignment="1">
      <alignment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4" borderId="31" xfId="0" applyFont="1" applyFill="1" applyBorder="1" applyAlignment="1">
      <alignment horizontal="left" vertical="top" wrapText="1"/>
    </xf>
    <xf numFmtId="0" fontId="3" fillId="4" borderId="33" xfId="0" applyFont="1" applyFill="1" applyBorder="1" applyAlignment="1">
      <alignment horizontal="left" vertical="top" wrapText="1"/>
    </xf>
    <xf numFmtId="164" fontId="5" fillId="4" borderId="31" xfId="0" applyNumberFormat="1" applyFont="1" applyFill="1" applyBorder="1" applyAlignment="1">
      <alignment horizontal="left" vertical="top" wrapText="1"/>
    </xf>
    <xf numFmtId="0" fontId="3" fillId="4" borderId="31" xfId="0" applyFont="1" applyFill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31" xfId="0" quotePrefix="1" applyFont="1" applyBorder="1" applyAlignment="1">
      <alignment horizontal="left" vertical="top" wrapText="1"/>
    </xf>
    <xf numFmtId="0" fontId="2" fillId="0" borderId="31" xfId="0" quotePrefix="1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164" fontId="13" fillId="4" borderId="31" xfId="0" applyNumberFormat="1" applyFont="1" applyFill="1" applyBorder="1" applyAlignment="1">
      <alignment horizontal="left" vertical="top" wrapText="1"/>
    </xf>
    <xf numFmtId="2" fontId="3" fillId="4" borderId="31" xfId="0" applyNumberFormat="1" applyFont="1" applyFill="1" applyBorder="1" applyAlignment="1">
      <alignment horizontal="center" vertical="top" wrapText="1"/>
    </xf>
    <xf numFmtId="2" fontId="3" fillId="0" borderId="31" xfId="0" applyNumberFormat="1" applyFont="1" applyBorder="1" applyAlignment="1">
      <alignment horizontal="center" vertical="top" wrapText="1"/>
    </xf>
    <xf numFmtId="0" fontId="10" fillId="0" borderId="31" xfId="0" applyFont="1" applyBorder="1" applyAlignment="1">
      <alignment horizontal="left" vertical="top" wrapText="1"/>
    </xf>
    <xf numFmtId="164" fontId="2" fillId="0" borderId="31" xfId="0" applyNumberFormat="1" applyFont="1" applyBorder="1" applyAlignment="1">
      <alignment horizontal="left" vertical="top" wrapText="1"/>
    </xf>
    <xf numFmtId="0" fontId="2" fillId="4" borderId="31" xfId="0" applyFont="1" applyFill="1" applyBorder="1" applyAlignment="1">
      <alignment vertical="top" wrapText="1"/>
    </xf>
    <xf numFmtId="0" fontId="10" fillId="0" borderId="31" xfId="0" quotePrefix="1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164" fontId="15" fillId="4" borderId="31" xfId="0" applyNumberFormat="1" applyFont="1" applyFill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 readingOrder="1"/>
    </xf>
    <xf numFmtId="0" fontId="7" fillId="0" borderId="31" xfId="0" applyFont="1" applyBorder="1" applyAlignment="1">
      <alignment horizontal="left" vertical="top" readingOrder="1"/>
    </xf>
    <xf numFmtId="0" fontId="3" fillId="0" borderId="31" xfId="0" applyFont="1" applyBorder="1" applyAlignment="1">
      <alignment horizontal="left" vertical="top" readingOrder="1"/>
    </xf>
    <xf numFmtId="0" fontId="3" fillId="4" borderId="31" xfId="0" applyFont="1" applyFill="1" applyBorder="1" applyAlignment="1">
      <alignment horizontal="left" vertical="top" readingOrder="1"/>
    </xf>
    <xf numFmtId="0" fontId="3" fillId="0" borderId="31" xfId="0" applyFont="1" applyBorder="1" applyAlignment="1">
      <alignment vertical="top" readingOrder="1"/>
    </xf>
    <xf numFmtId="0" fontId="3" fillId="0" borderId="31" xfId="0" applyFont="1" applyBorder="1" applyAlignment="1">
      <alignment vertical="top" wrapText="1"/>
    </xf>
    <xf numFmtId="164" fontId="5" fillId="4" borderId="31" xfId="0" applyNumberFormat="1" applyFont="1" applyFill="1" applyBorder="1" applyAlignment="1">
      <alignment vertical="top" wrapText="1"/>
    </xf>
    <xf numFmtId="164" fontId="12" fillId="0" borderId="31" xfId="0" applyNumberFormat="1" applyFont="1" applyBorder="1" applyAlignment="1">
      <alignment horizontal="left" vertical="top" wrapText="1"/>
    </xf>
    <xf numFmtId="0" fontId="3" fillId="2" borderId="3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vertical="top" wrapText="1"/>
    </xf>
    <xf numFmtId="0" fontId="17" fillId="9" borderId="0" xfId="0" applyFont="1" applyFill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16" fillId="0" borderId="31" xfId="0" quotePrefix="1" applyFont="1" applyBorder="1" applyAlignment="1">
      <alignment horizontal="left" vertical="top" wrapText="1"/>
    </xf>
    <xf numFmtId="0" fontId="16" fillId="0" borderId="31" xfId="0" applyFont="1" applyBorder="1" applyAlignment="1">
      <alignment horizontal="left" vertical="top" wrapText="1"/>
    </xf>
    <xf numFmtId="0" fontId="16" fillId="9" borderId="0" xfId="0" applyFont="1" applyFill="1" applyAlignment="1">
      <alignment horizontal="center" vertical="top" wrapText="1"/>
    </xf>
    <xf numFmtId="0" fontId="16" fillId="9" borderId="30" xfId="0" applyFont="1" applyFill="1" applyBorder="1" applyAlignment="1">
      <alignment horizontal="center" vertical="top" wrapText="1"/>
    </xf>
    <xf numFmtId="0" fontId="2" fillId="0" borderId="36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3" fillId="4" borderId="31" xfId="0" quotePrefix="1" applyFont="1" applyFill="1" applyBorder="1" applyAlignment="1">
      <alignment horizontal="left" vertical="top" wrapText="1"/>
    </xf>
    <xf numFmtId="0" fontId="3" fillId="4" borderId="31" xfId="0" quotePrefix="1" applyFont="1" applyFill="1" applyBorder="1" applyAlignment="1">
      <alignment vertical="top" wrapText="1"/>
    </xf>
    <xf numFmtId="0" fontId="18" fillId="6" borderId="31" xfId="0" applyFont="1" applyFill="1" applyBorder="1" applyAlignment="1">
      <alignment vertical="top" wrapText="1"/>
    </xf>
    <xf numFmtId="164" fontId="19" fillId="5" borderId="31" xfId="0" applyNumberFormat="1" applyFont="1" applyFill="1" applyBorder="1" applyAlignment="1">
      <alignment vertical="top" wrapText="1"/>
    </xf>
    <xf numFmtId="164" fontId="19" fillId="5" borderId="31" xfId="0" applyNumberFormat="1" applyFont="1" applyFill="1" applyBorder="1" applyAlignment="1">
      <alignment wrapText="1"/>
    </xf>
    <xf numFmtId="0" fontId="18" fillId="6" borderId="31" xfId="0" applyFont="1" applyFill="1" applyBorder="1" applyAlignment="1">
      <alignment horizontal="left" vertical="top" wrapText="1"/>
    </xf>
    <xf numFmtId="0" fontId="18" fillId="7" borderId="3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9" fillId="0" borderId="35" xfId="0" applyFont="1" applyBorder="1" applyAlignment="1">
      <alignment horizontal="left" vertical="top"/>
    </xf>
    <xf numFmtId="0" fontId="18" fillId="0" borderId="31" xfId="0" applyFont="1" applyBorder="1" applyAlignment="1">
      <alignment vertical="top" wrapText="1"/>
    </xf>
    <xf numFmtId="164" fontId="19" fillId="0" borderId="31" xfId="0" applyNumberFormat="1" applyFont="1" applyBorder="1" applyAlignment="1">
      <alignment wrapText="1"/>
    </xf>
    <xf numFmtId="0" fontId="18" fillId="0" borderId="31" xfId="0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vertical="top" wrapText="1"/>
    </xf>
    <xf numFmtId="164" fontId="2" fillId="0" borderId="31" xfId="0" applyNumberFormat="1" applyFont="1" applyBorder="1" applyAlignment="1">
      <alignment vertical="top" wrapText="1"/>
    </xf>
    <xf numFmtId="164" fontId="12" fillId="0" borderId="31" xfId="0" applyNumberFormat="1" applyFont="1" applyBorder="1" applyAlignment="1">
      <alignment vertical="top" wrapText="1"/>
    </xf>
    <xf numFmtId="164" fontId="6" fillId="0" borderId="31" xfId="0" applyNumberFormat="1" applyFont="1" applyBorder="1" applyAlignment="1">
      <alignment wrapText="1"/>
    </xf>
    <xf numFmtId="164" fontId="21" fillId="5" borderId="31" xfId="0" applyNumberFormat="1" applyFont="1" applyFill="1" applyBorder="1" applyAlignment="1">
      <alignment vertical="top" wrapText="1"/>
    </xf>
    <xf numFmtId="164" fontId="21" fillId="5" borderId="31" xfId="0" applyNumberFormat="1" applyFont="1" applyFill="1" applyBorder="1" applyAlignment="1">
      <alignment wrapText="1"/>
    </xf>
    <xf numFmtId="0" fontId="2" fillId="0" borderId="9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3" fillId="8" borderId="31" xfId="0" applyFont="1" applyFill="1" applyBorder="1" applyAlignment="1">
      <alignment horizontal="left" vertical="top" wrapText="1"/>
    </xf>
    <xf numFmtId="0" fontId="16" fillId="9" borderId="0" xfId="0" applyFont="1" applyFill="1" applyAlignment="1">
      <alignment horizontal="center" vertical="top" wrapText="1"/>
    </xf>
    <xf numFmtId="0" fontId="16" fillId="9" borderId="30" xfId="0" applyFont="1" applyFill="1" applyBorder="1" applyAlignment="1">
      <alignment horizontal="center" vertical="top" wrapText="1"/>
    </xf>
    <xf numFmtId="0" fontId="16" fillId="0" borderId="31" xfId="0" quotePrefix="1" applyFont="1" applyBorder="1" applyAlignment="1">
      <alignment horizontal="left" vertical="top" wrapText="1"/>
    </xf>
    <xf numFmtId="0" fontId="16" fillId="0" borderId="31" xfId="0" applyFont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20" fillId="10" borderId="29" xfId="0" applyFont="1" applyFill="1" applyBorder="1" applyAlignment="1">
      <alignment horizontal="left" vertical="top" wrapText="1"/>
    </xf>
    <xf numFmtId="0" fontId="20" fillId="10" borderId="0" xfId="0" applyFont="1" applyFill="1" applyAlignment="1">
      <alignment horizontal="left" vertical="top" wrapText="1"/>
    </xf>
    <xf numFmtId="0" fontId="20" fillId="10" borderId="30" xfId="0" applyFont="1" applyFill="1" applyBorder="1" applyAlignment="1">
      <alignment horizontal="left" vertical="top" wrapText="1"/>
    </xf>
    <xf numFmtId="0" fontId="4" fillId="0" borderId="35" xfId="0" quotePrefix="1" applyFont="1" applyBorder="1" applyAlignment="1">
      <alignment horizontal="left" vertical="top" wrapText="1"/>
    </xf>
    <xf numFmtId="0" fontId="4" fillId="0" borderId="36" xfId="0" quotePrefix="1" applyFont="1" applyBorder="1" applyAlignment="1">
      <alignment horizontal="left" vertical="top" wrapText="1"/>
    </xf>
    <xf numFmtId="0" fontId="4" fillId="0" borderId="33" xfId="0" quotePrefix="1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/>
    </xf>
    <xf numFmtId="0" fontId="14" fillId="0" borderId="36" xfId="0" applyFont="1" applyBorder="1" applyAlignment="1">
      <alignment horizontal="left" vertical="top"/>
    </xf>
    <xf numFmtId="0" fontId="14" fillId="0" borderId="33" xfId="0" applyFont="1" applyBorder="1" applyAlignment="1">
      <alignment horizontal="left" vertical="top"/>
    </xf>
    <xf numFmtId="0" fontId="3" fillId="8" borderId="31" xfId="0" applyFont="1" applyFill="1" applyBorder="1" applyAlignment="1">
      <alignment horizontal="left" vertical="top" readingOrder="1"/>
    </xf>
    <xf numFmtId="0" fontId="3" fillId="8" borderId="31" xfId="0" applyFont="1" applyFill="1" applyBorder="1" applyAlignment="1">
      <alignment vertical="top" wrapText="1" readingOrder="1"/>
    </xf>
    <xf numFmtId="0" fontId="2" fillId="0" borderId="31" xfId="0" applyFont="1" applyBorder="1" applyAlignment="1">
      <alignment horizontal="left" vertical="top" wrapText="1"/>
    </xf>
    <xf numFmtId="0" fontId="3" fillId="8" borderId="35" xfId="0" applyFont="1" applyFill="1" applyBorder="1" applyAlignment="1">
      <alignment horizontal="left" vertical="top" wrapText="1"/>
    </xf>
    <xf numFmtId="0" fontId="3" fillId="8" borderId="36" xfId="0" applyFont="1" applyFill="1" applyBorder="1" applyAlignment="1">
      <alignment horizontal="left" vertical="top" wrapText="1"/>
    </xf>
    <xf numFmtId="0" fontId="3" fillId="8" borderId="33" xfId="0" applyFont="1" applyFill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readingOrder="1"/>
    </xf>
    <xf numFmtId="0" fontId="2" fillId="0" borderId="36" xfId="0" applyFont="1" applyBorder="1" applyAlignment="1">
      <alignment horizontal="left" vertical="top" readingOrder="1"/>
    </xf>
    <xf numFmtId="0" fontId="2" fillId="0" borderId="33" xfId="0" applyFont="1" applyBorder="1" applyAlignment="1">
      <alignment horizontal="left" vertical="top" readingOrder="1"/>
    </xf>
    <xf numFmtId="0" fontId="2" fillId="0" borderId="35" xfId="0" applyFont="1" applyBorder="1" applyAlignment="1">
      <alignment vertical="top" readingOrder="1"/>
    </xf>
    <xf numFmtId="0" fontId="2" fillId="0" borderId="36" xfId="0" applyFont="1" applyBorder="1" applyAlignment="1">
      <alignment vertical="top" readingOrder="1"/>
    </xf>
    <xf numFmtId="0" fontId="2" fillId="0" borderId="33" xfId="0" applyFont="1" applyBorder="1" applyAlignment="1">
      <alignment vertical="top" readingOrder="1"/>
    </xf>
    <xf numFmtId="0" fontId="2" fillId="0" borderId="35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 readingOrder="1"/>
    </xf>
    <xf numFmtId="0" fontId="2" fillId="0" borderId="36" xfId="0" applyFont="1" applyBorder="1" applyAlignment="1">
      <alignment horizontal="left" vertical="top" wrapText="1" readingOrder="1"/>
    </xf>
    <xf numFmtId="0" fontId="2" fillId="0" borderId="33" xfId="0" applyFont="1" applyBorder="1" applyAlignment="1">
      <alignment horizontal="left" vertical="top" wrapText="1" readingOrder="1"/>
    </xf>
    <xf numFmtId="0" fontId="3" fillId="8" borderId="31" xfId="0" applyFont="1" applyFill="1" applyBorder="1" applyAlignment="1">
      <alignment vertical="top" wrapText="1"/>
    </xf>
    <xf numFmtId="0" fontId="2" fillId="9" borderId="0" xfId="0" applyFont="1" applyFill="1" applyAlignment="1">
      <alignment horizontal="center" vertical="top" wrapText="1"/>
    </xf>
    <xf numFmtId="0" fontId="2" fillId="0" borderId="35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33" xfId="0" applyFont="1" applyBorder="1" applyAlignment="1">
      <alignment vertical="top"/>
    </xf>
    <xf numFmtId="0" fontId="16" fillId="0" borderId="31" xfId="0" quotePrefix="1" applyFont="1" applyBorder="1" applyAlignment="1">
      <alignment horizontal="center" vertical="top" wrapText="1"/>
    </xf>
    <xf numFmtId="0" fontId="16" fillId="0" borderId="31" xfId="0" applyFont="1" applyBorder="1" applyAlignment="1">
      <alignment horizontal="center" vertical="top" wrapText="1"/>
    </xf>
    <xf numFmtId="0" fontId="2" fillId="0" borderId="35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33" xfId="0" applyFont="1" applyBorder="1" applyAlignment="1">
      <alignment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0" fontId="9" fillId="0" borderId="35" xfId="0" applyFont="1" applyBorder="1" applyAlignment="1">
      <alignment horizontal="left" vertical="top"/>
    </xf>
    <xf numFmtId="0" fontId="9" fillId="0" borderId="36" xfId="0" applyFont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3" fillId="8" borderId="31" xfId="0" quotePrefix="1" applyFont="1" applyFill="1" applyBorder="1" applyAlignment="1">
      <alignment horizontal="left" vertical="top" wrapText="1"/>
    </xf>
    <xf numFmtId="0" fontId="16" fillId="9" borderId="0" xfId="0" quotePrefix="1" applyFont="1" applyFill="1" applyAlignment="1">
      <alignment horizontal="left" vertical="top" wrapText="1"/>
    </xf>
    <xf numFmtId="0" fontId="16" fillId="9" borderId="0" xfId="0" applyFont="1" applyFill="1" applyAlignment="1">
      <alignment horizontal="left" vertical="top" wrapText="1"/>
    </xf>
    <xf numFmtId="0" fontId="2" fillId="0" borderId="35" xfId="0" quotePrefix="1" applyFont="1" applyBorder="1" applyAlignment="1">
      <alignment horizontal="left" vertical="top" wrapText="1"/>
    </xf>
    <xf numFmtId="0" fontId="2" fillId="0" borderId="36" xfId="0" quotePrefix="1" applyFont="1" applyBorder="1" applyAlignment="1">
      <alignment horizontal="left" vertical="top" wrapText="1"/>
    </xf>
    <xf numFmtId="0" fontId="2" fillId="0" borderId="33" xfId="0" quotePrefix="1" applyFont="1" applyBorder="1" applyAlignment="1">
      <alignment horizontal="left" vertical="top" wrapText="1"/>
    </xf>
    <xf numFmtId="0" fontId="14" fillId="8" borderId="35" xfId="0" applyFont="1" applyFill="1" applyBorder="1" applyAlignment="1">
      <alignment horizontal="left" vertical="top" wrapText="1"/>
    </xf>
    <xf numFmtId="0" fontId="14" fillId="8" borderId="36" xfId="0" applyFont="1" applyFill="1" applyBorder="1" applyAlignment="1">
      <alignment horizontal="left" vertical="top" wrapText="1"/>
    </xf>
    <xf numFmtId="0" fontId="14" fillId="8" borderId="33" xfId="0" applyFont="1" applyFill="1" applyBorder="1" applyAlignment="1">
      <alignment horizontal="left" vertical="top" wrapText="1"/>
    </xf>
    <xf numFmtId="0" fontId="2" fillId="9" borderId="0" xfId="0" quotePrefix="1" applyFont="1" applyFill="1" applyAlignment="1">
      <alignment horizontal="center" vertical="top" wrapText="1"/>
    </xf>
    <xf numFmtId="0" fontId="2" fillId="0" borderId="35" xfId="0" quotePrefix="1" applyFont="1" applyBorder="1" applyAlignment="1">
      <alignment horizontal="left" vertical="top"/>
    </xf>
    <xf numFmtId="0" fontId="2" fillId="0" borderId="36" xfId="0" quotePrefix="1" applyFont="1" applyBorder="1" applyAlignment="1">
      <alignment horizontal="left" vertical="top"/>
    </xf>
    <xf numFmtId="0" fontId="2" fillId="0" borderId="33" xfId="0" quotePrefix="1" applyFont="1" applyBorder="1" applyAlignment="1">
      <alignment horizontal="left" vertical="top"/>
    </xf>
    <xf numFmtId="0" fontId="8" fillId="0" borderId="35" xfId="0" quotePrefix="1" applyFont="1" applyBorder="1" applyAlignment="1">
      <alignment horizontal="left" vertical="top"/>
    </xf>
    <xf numFmtId="0" fontId="8" fillId="0" borderId="36" xfId="0" quotePrefix="1" applyFont="1" applyBorder="1" applyAlignment="1">
      <alignment horizontal="left" vertical="top"/>
    </xf>
    <xf numFmtId="0" fontId="8" fillId="0" borderId="33" xfId="0" quotePrefix="1" applyFon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8" fillId="0" borderId="33" xfId="0" applyFont="1" applyBorder="1" applyAlignment="1">
      <alignment horizontal="left" vertical="top"/>
    </xf>
    <xf numFmtId="0" fontId="8" fillId="0" borderId="35" xfId="0" quotePrefix="1" applyFont="1" applyBorder="1" applyAlignment="1">
      <alignment horizontal="left" vertical="top" wrapText="1"/>
    </xf>
    <xf numFmtId="0" fontId="8" fillId="0" borderId="36" xfId="0" quotePrefix="1" applyFont="1" applyBorder="1" applyAlignment="1">
      <alignment horizontal="left" vertical="top" wrapText="1"/>
    </xf>
    <xf numFmtId="0" fontId="8" fillId="0" borderId="33" xfId="0" quotePrefix="1" applyFont="1" applyBorder="1" applyAlignment="1">
      <alignment horizontal="left" vertical="top" wrapText="1"/>
    </xf>
    <xf numFmtId="0" fontId="16" fillId="9" borderId="37" xfId="0" applyFont="1" applyFill="1" applyBorder="1" applyAlignment="1">
      <alignment horizontal="center" vertical="top" wrapText="1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16" fillId="0" borderId="24" xfId="0" applyFont="1" applyBorder="1" applyAlignment="1">
      <alignment horizontal="left" vertical="top" wrapText="1"/>
    </xf>
    <xf numFmtId="0" fontId="3" fillId="2" borderId="3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033F-9FD9-4CD3-BDA0-1B2E0962044F}">
  <sheetPr>
    <pageSetUpPr fitToPage="1"/>
  </sheetPr>
  <dimension ref="A1:AD236"/>
  <sheetViews>
    <sheetView tabSelected="1" zoomScale="80" zoomScaleNormal="80" zoomScaleSheetLayoutView="77" workbookViewId="0">
      <pane ySplit="3" topLeftCell="A169" activePane="bottomLeft" state="frozen"/>
      <selection pane="bottomLeft" activeCell="AC175" sqref="AC175:AC180"/>
    </sheetView>
  </sheetViews>
  <sheetFormatPr baseColWidth="10" defaultColWidth="9" defaultRowHeight="24" x14ac:dyDescent="0.2"/>
  <cols>
    <col min="1" max="1" width="5.6640625" style="1" customWidth="1"/>
    <col min="2" max="2" width="52.33203125" style="1" customWidth="1"/>
    <col min="3" max="3" width="42.6640625" style="1" hidden="1" customWidth="1"/>
    <col min="4" max="4" width="33.1640625" style="1" hidden="1" customWidth="1"/>
    <col min="5" max="5" width="38.6640625" style="1" hidden="1" customWidth="1"/>
    <col min="6" max="6" width="52" style="1" hidden="1" customWidth="1"/>
    <col min="7" max="19" width="9" style="1" hidden="1" customWidth="1"/>
    <col min="20" max="20" width="18.1640625" style="1" hidden="1" customWidth="1"/>
    <col min="21" max="21" width="18.83203125" style="1" hidden="1" customWidth="1"/>
    <col min="22" max="22" width="18.33203125" style="1" hidden="1" customWidth="1"/>
    <col min="23" max="26" width="18.1640625" style="1" hidden="1" customWidth="1"/>
    <col min="27" max="30" width="50.33203125" style="1" customWidth="1"/>
    <col min="31" max="16384" width="9" style="1"/>
  </cols>
  <sheetData>
    <row r="1" spans="1:30" ht="62" customHeight="1" x14ac:dyDescent="0.2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6"/>
      <c r="V1" s="166"/>
      <c r="W1" s="166"/>
      <c r="X1" s="166"/>
      <c r="Y1" s="166"/>
      <c r="Z1" s="166"/>
    </row>
    <row r="2" spans="1:30" ht="23" customHeight="1" x14ac:dyDescent="0.2">
      <c r="A2" s="167" t="s">
        <v>1</v>
      </c>
      <c r="B2" s="168"/>
      <c r="C2" s="168" t="s">
        <v>2</v>
      </c>
      <c r="D2" s="168" t="s">
        <v>3</v>
      </c>
      <c r="E2" s="168" t="s">
        <v>4</v>
      </c>
      <c r="F2" s="2"/>
      <c r="G2" s="171" t="s">
        <v>5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3"/>
      <c r="S2" s="174" t="s">
        <v>6</v>
      </c>
      <c r="T2" s="176" t="s">
        <v>7</v>
      </c>
      <c r="U2" s="178" t="s">
        <v>8</v>
      </c>
      <c r="V2" s="180" t="s">
        <v>9</v>
      </c>
      <c r="W2" s="181"/>
      <c r="X2" s="181"/>
      <c r="Y2" s="181"/>
      <c r="Z2" s="182"/>
      <c r="AA2" s="164" t="s">
        <v>10</v>
      </c>
      <c r="AB2" s="164"/>
      <c r="AC2" s="164"/>
      <c r="AD2" s="164"/>
    </row>
    <row r="3" spans="1:30" ht="25" x14ac:dyDescent="0.2">
      <c r="A3" s="169"/>
      <c r="B3" s="170"/>
      <c r="C3" s="170"/>
      <c r="D3" s="170"/>
      <c r="E3" s="170"/>
      <c r="F3" s="3"/>
      <c r="G3" s="4" t="s">
        <v>11</v>
      </c>
      <c r="H3" s="5" t="s">
        <v>12</v>
      </c>
      <c r="I3" s="6" t="s">
        <v>13</v>
      </c>
      <c r="J3" s="7" t="s">
        <v>14</v>
      </c>
      <c r="K3" s="5" t="s">
        <v>15</v>
      </c>
      <c r="L3" s="6" t="s">
        <v>16</v>
      </c>
      <c r="M3" s="7" t="s">
        <v>17</v>
      </c>
      <c r="N3" s="5" t="s">
        <v>18</v>
      </c>
      <c r="O3" s="6" t="s">
        <v>19</v>
      </c>
      <c r="P3" s="7" t="s">
        <v>20</v>
      </c>
      <c r="Q3" s="5" t="s">
        <v>21</v>
      </c>
      <c r="R3" s="8" t="s">
        <v>22</v>
      </c>
      <c r="S3" s="175"/>
      <c r="T3" s="177"/>
      <c r="U3" s="179"/>
      <c r="V3" s="9">
        <v>1</v>
      </c>
      <c r="W3" s="10">
        <v>2</v>
      </c>
      <c r="X3" s="10">
        <v>3</v>
      </c>
      <c r="Y3" s="10">
        <v>4</v>
      </c>
      <c r="Z3" s="11">
        <v>5</v>
      </c>
      <c r="AA3" s="53" t="s">
        <v>23</v>
      </c>
      <c r="AB3" s="53" t="s">
        <v>24</v>
      </c>
      <c r="AC3" s="53" t="s">
        <v>25</v>
      </c>
      <c r="AD3" s="53" t="s">
        <v>26</v>
      </c>
    </row>
    <row r="4" spans="1:30" ht="28" customHeight="1" x14ac:dyDescent="0.2">
      <c r="A4" s="92" t="s">
        <v>27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4"/>
      <c r="AA4" s="54"/>
      <c r="AB4" s="54"/>
      <c r="AC4" s="54"/>
      <c r="AD4" s="54"/>
    </row>
    <row r="5" spans="1:30" s="19" customFormat="1" ht="28" customHeight="1" x14ac:dyDescent="0.2">
      <c r="A5" s="12"/>
      <c r="B5" s="12"/>
      <c r="C5" s="12"/>
      <c r="D5" s="12"/>
      <c r="E5" s="12"/>
      <c r="F5" s="13"/>
      <c r="G5" s="28">
        <f>(G6+G9+G12+G15+G18+G22+G25+G28+G31+G34+G37+G40+G43+G46)*100/$S$5</f>
        <v>4.166666666666667</v>
      </c>
      <c r="H5" s="28">
        <f t="shared" ref="H5:P5" si="0">(H6+H9+H12+H15+H18+H22+H25+H28+H31+H34+H37+H40+H43+H46)*100/$S$5</f>
        <v>8.3333333333333339</v>
      </c>
      <c r="I5" s="28">
        <f t="shared" si="0"/>
        <v>12.5</v>
      </c>
      <c r="J5" s="28">
        <f t="shared" si="0"/>
        <v>20.238095238095241</v>
      </c>
      <c r="K5" s="28">
        <f t="shared" si="0"/>
        <v>27.976190476190478</v>
      </c>
      <c r="L5" s="28">
        <f t="shared" si="0"/>
        <v>35.714285714285715</v>
      </c>
      <c r="M5" s="28">
        <f t="shared" si="0"/>
        <v>44.88095238095238</v>
      </c>
      <c r="N5" s="28">
        <f t="shared" si="0"/>
        <v>54.047619047619044</v>
      </c>
      <c r="O5" s="28">
        <f t="shared" si="0"/>
        <v>63.214285714285715</v>
      </c>
      <c r="P5" s="28">
        <f t="shared" si="0"/>
        <v>75.952380952380963</v>
      </c>
      <c r="Q5" s="28">
        <f>(Q6+Q9+Q12+Q15+Q18+Q22+Q25+Q28+Q31+Q34+Q37+Q40+Q43+Q46)*100/$S$5</f>
        <v>88.69047619047619</v>
      </c>
      <c r="R5" s="28">
        <f>(R6+R9+R12+R15+R18+R22+R25+R28+R31+R34+R37+R40+R43+R46)*100/$S$5</f>
        <v>100</v>
      </c>
      <c r="S5" s="14">
        <v>1400</v>
      </c>
      <c r="T5" s="15"/>
      <c r="U5" s="16" t="s">
        <v>28</v>
      </c>
      <c r="V5" s="17"/>
      <c r="W5" s="17"/>
      <c r="X5" s="17"/>
      <c r="Y5" s="17"/>
      <c r="Z5" s="18"/>
      <c r="AA5" s="55"/>
      <c r="AB5" s="55"/>
      <c r="AC5" s="55"/>
      <c r="AD5" s="55"/>
    </row>
    <row r="6" spans="1:30" x14ac:dyDescent="0.2">
      <c r="A6" s="82"/>
      <c r="B6" s="85" t="s">
        <v>29</v>
      </c>
      <c r="C6" s="85"/>
      <c r="D6" s="85"/>
      <c r="E6" s="85"/>
      <c r="F6" s="21"/>
      <c r="G6" s="80">
        <f>(G7*100)/$S$7</f>
        <v>8.3333333333333339</v>
      </c>
      <c r="H6" s="80">
        <f t="shared" ref="H6:M6" si="1">(H7*100)/$S$7</f>
        <v>16.666666666666668</v>
      </c>
      <c r="I6" s="80">
        <f t="shared" si="1"/>
        <v>25</v>
      </c>
      <c r="J6" s="80">
        <f t="shared" si="1"/>
        <v>33.333333333333336</v>
      </c>
      <c r="K6" s="80">
        <f t="shared" si="1"/>
        <v>41.666666666666664</v>
      </c>
      <c r="L6" s="80">
        <f t="shared" si="1"/>
        <v>50</v>
      </c>
      <c r="M6" s="80">
        <f t="shared" si="1"/>
        <v>58.333333333333336</v>
      </c>
      <c r="N6" s="80">
        <f>(N7*100)/$S$7</f>
        <v>66.666666666666671</v>
      </c>
      <c r="O6" s="80">
        <f t="shared" ref="O6:Q6" si="2">(O7*100)/$S$7</f>
        <v>75</v>
      </c>
      <c r="P6" s="80">
        <f t="shared" si="2"/>
        <v>83.333333333333329</v>
      </c>
      <c r="Q6" s="80">
        <f t="shared" si="2"/>
        <v>91.666666666666671</v>
      </c>
      <c r="R6" s="80">
        <f>(R7*100)/$S$7</f>
        <v>100</v>
      </c>
      <c r="S6" s="22"/>
      <c r="T6" s="22"/>
      <c r="U6" s="22"/>
      <c r="V6" s="22"/>
      <c r="W6" s="22"/>
      <c r="X6" s="22"/>
      <c r="Y6" s="22"/>
      <c r="Z6" s="22"/>
      <c r="AA6" s="86"/>
      <c r="AB6" s="87"/>
      <c r="AC6" s="88"/>
      <c r="AD6" s="88"/>
    </row>
    <row r="7" spans="1:30" ht="22" hidden="1" customHeight="1" x14ac:dyDescent="0.2">
      <c r="A7" s="83"/>
      <c r="B7" s="20"/>
      <c r="C7" s="20"/>
      <c r="D7" s="20"/>
      <c r="E7" s="20"/>
      <c r="F7" s="21"/>
      <c r="G7" s="77">
        <f>G8</f>
        <v>1</v>
      </c>
      <c r="H7" s="77">
        <f>G7+H8</f>
        <v>2</v>
      </c>
      <c r="I7" s="77">
        <f t="shared" ref="I7:R7" si="3">H7+I8</f>
        <v>3</v>
      </c>
      <c r="J7" s="77">
        <f t="shared" si="3"/>
        <v>4</v>
      </c>
      <c r="K7" s="77">
        <f t="shared" si="3"/>
        <v>5</v>
      </c>
      <c r="L7" s="77">
        <f t="shared" si="3"/>
        <v>6</v>
      </c>
      <c r="M7" s="77">
        <f t="shared" si="3"/>
        <v>7</v>
      </c>
      <c r="N7" s="77">
        <f t="shared" si="3"/>
        <v>8</v>
      </c>
      <c r="O7" s="77">
        <f t="shared" si="3"/>
        <v>9</v>
      </c>
      <c r="P7" s="77">
        <f t="shared" si="3"/>
        <v>10</v>
      </c>
      <c r="Q7" s="77">
        <f t="shared" si="3"/>
        <v>11</v>
      </c>
      <c r="R7" s="77">
        <f t="shared" si="3"/>
        <v>12</v>
      </c>
      <c r="S7" s="22">
        <f>R7</f>
        <v>12</v>
      </c>
      <c r="T7" s="22"/>
      <c r="U7" s="22"/>
      <c r="V7" s="22"/>
      <c r="W7" s="22"/>
      <c r="X7" s="22"/>
      <c r="Y7" s="22"/>
      <c r="Z7" s="22"/>
      <c r="AA7" s="86"/>
      <c r="AB7" s="87"/>
      <c r="AC7" s="89"/>
      <c r="AD7" s="89"/>
    </row>
    <row r="8" spans="1:30" ht="25" customHeight="1" x14ac:dyDescent="0.2">
      <c r="A8" s="83"/>
      <c r="B8" s="91" t="s">
        <v>30</v>
      </c>
      <c r="C8" s="91"/>
      <c r="D8" s="91"/>
      <c r="E8" s="91"/>
      <c r="F8" s="21"/>
      <c r="G8" s="69">
        <v>1</v>
      </c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22">
        <f>SUM(G8:R8)</f>
        <v>12</v>
      </c>
      <c r="T8" s="22"/>
      <c r="U8" s="22"/>
      <c r="V8" s="22"/>
      <c r="W8" s="22"/>
      <c r="X8" s="22"/>
      <c r="Y8" s="22"/>
      <c r="Z8" s="22"/>
      <c r="AA8" s="86"/>
      <c r="AB8" s="87"/>
      <c r="AC8" s="89"/>
      <c r="AD8" s="89"/>
    </row>
    <row r="9" spans="1:30" s="25" customFormat="1" x14ac:dyDescent="0.2">
      <c r="A9" s="83"/>
      <c r="B9" s="85" t="s">
        <v>31</v>
      </c>
      <c r="C9" s="85"/>
      <c r="D9" s="85"/>
      <c r="E9" s="85"/>
      <c r="F9" s="21"/>
      <c r="G9" s="80">
        <f>(G10*100)/$S$10</f>
        <v>8.3333333333333339</v>
      </c>
      <c r="H9" s="80">
        <f t="shared" ref="H9:K9" si="4">(H10*100)/$S$10</f>
        <v>16.666666666666668</v>
      </c>
      <c r="I9" s="80">
        <f t="shared" si="4"/>
        <v>25</v>
      </c>
      <c r="J9" s="80">
        <f t="shared" si="4"/>
        <v>33.333333333333336</v>
      </c>
      <c r="K9" s="80">
        <f t="shared" si="4"/>
        <v>41.666666666666664</v>
      </c>
      <c r="L9" s="80">
        <f>(L10*100)/$S$10</f>
        <v>50</v>
      </c>
      <c r="M9" s="80">
        <f t="shared" ref="M9:O9" si="5">(M10*100)/$S$10</f>
        <v>58.333333333333336</v>
      </c>
      <c r="N9" s="80">
        <f t="shared" si="5"/>
        <v>66.666666666666671</v>
      </c>
      <c r="O9" s="80">
        <f t="shared" si="5"/>
        <v>75</v>
      </c>
      <c r="P9" s="80">
        <f>(P10*100)/$S$10</f>
        <v>83.333333333333329</v>
      </c>
      <c r="Q9" s="80">
        <f t="shared" ref="Q9" si="6">(Q10*100)/$S$10</f>
        <v>91.666666666666671</v>
      </c>
      <c r="R9" s="80">
        <f>(R10*100)/$S$10</f>
        <v>100</v>
      </c>
      <c r="S9" s="24"/>
      <c r="T9" s="24"/>
      <c r="U9" s="24"/>
      <c r="V9" s="24"/>
      <c r="W9" s="24"/>
      <c r="X9" s="24"/>
      <c r="Y9" s="24"/>
      <c r="Z9" s="24"/>
      <c r="AA9" s="87"/>
      <c r="AB9" s="88"/>
      <c r="AC9" s="88"/>
      <c r="AD9" s="88"/>
    </row>
    <row r="10" spans="1:30" s="25" customFormat="1" ht="26" hidden="1" customHeight="1" x14ac:dyDescent="0.2">
      <c r="A10" s="83"/>
      <c r="B10" s="20"/>
      <c r="C10" s="20"/>
      <c r="D10" s="20"/>
      <c r="E10" s="20"/>
      <c r="F10" s="21"/>
      <c r="G10" s="77">
        <f>G11</f>
        <v>1</v>
      </c>
      <c r="H10" s="77">
        <f>G10+H11</f>
        <v>2</v>
      </c>
      <c r="I10" s="77">
        <f t="shared" ref="I10:R10" si="7">H10+I11</f>
        <v>3</v>
      </c>
      <c r="J10" s="77">
        <f t="shared" si="7"/>
        <v>4</v>
      </c>
      <c r="K10" s="77">
        <f t="shared" si="7"/>
        <v>5</v>
      </c>
      <c r="L10" s="77">
        <f t="shared" si="7"/>
        <v>6</v>
      </c>
      <c r="M10" s="77">
        <f t="shared" si="7"/>
        <v>7</v>
      </c>
      <c r="N10" s="77">
        <f t="shared" si="7"/>
        <v>8</v>
      </c>
      <c r="O10" s="77">
        <f t="shared" si="7"/>
        <v>9</v>
      </c>
      <c r="P10" s="77">
        <f t="shared" si="7"/>
        <v>10</v>
      </c>
      <c r="Q10" s="77">
        <f t="shared" si="7"/>
        <v>11</v>
      </c>
      <c r="R10" s="77">
        <f t="shared" si="7"/>
        <v>12</v>
      </c>
      <c r="S10" s="22">
        <f>R10</f>
        <v>12</v>
      </c>
      <c r="T10" s="24"/>
      <c r="U10" s="24"/>
      <c r="V10" s="24"/>
      <c r="W10" s="24"/>
      <c r="X10" s="24"/>
      <c r="Y10" s="24"/>
      <c r="Z10" s="24"/>
      <c r="AA10" s="87"/>
      <c r="AB10" s="89"/>
      <c r="AC10" s="89"/>
      <c r="AD10" s="89"/>
    </row>
    <row r="11" spans="1:30" s="25" customFormat="1" ht="21" customHeight="1" x14ac:dyDescent="0.2">
      <c r="A11" s="83"/>
      <c r="B11" s="156" t="s">
        <v>32</v>
      </c>
      <c r="C11" s="157"/>
      <c r="D11" s="157"/>
      <c r="E11" s="158"/>
      <c r="F11" s="21"/>
      <c r="G11" s="69">
        <v>1</v>
      </c>
      <c r="H11" s="69">
        <v>1</v>
      </c>
      <c r="I11" s="69">
        <v>1</v>
      </c>
      <c r="J11" s="69">
        <v>1</v>
      </c>
      <c r="K11" s="69">
        <v>1</v>
      </c>
      <c r="L11" s="69">
        <v>1</v>
      </c>
      <c r="M11" s="69">
        <v>1</v>
      </c>
      <c r="N11" s="69">
        <v>1</v>
      </c>
      <c r="O11" s="69">
        <v>1</v>
      </c>
      <c r="P11" s="69">
        <v>1</v>
      </c>
      <c r="Q11" s="69">
        <v>1</v>
      </c>
      <c r="R11" s="69">
        <v>1</v>
      </c>
      <c r="S11" s="22">
        <f t="shared" ref="S11" si="8">SUM(G11:R11)</f>
        <v>12</v>
      </c>
      <c r="T11" s="24"/>
      <c r="U11" s="24"/>
      <c r="V11" s="24"/>
      <c r="W11" s="24"/>
      <c r="X11" s="24"/>
      <c r="Y11" s="24"/>
      <c r="Z11" s="24"/>
      <c r="AA11" s="87"/>
      <c r="AB11" s="89"/>
      <c r="AC11" s="89"/>
      <c r="AD11" s="89"/>
    </row>
    <row r="12" spans="1:30" s="25" customFormat="1" x14ac:dyDescent="0.2">
      <c r="A12" s="83"/>
      <c r="B12" s="85" t="s">
        <v>33</v>
      </c>
      <c r="C12" s="85"/>
      <c r="D12" s="85"/>
      <c r="E12" s="85"/>
      <c r="F12" s="21"/>
      <c r="G12" s="80">
        <f>(G13*100)/$S$13</f>
        <v>8.3333333333333339</v>
      </c>
      <c r="H12" s="80">
        <f t="shared" ref="H12:R12" si="9">(H13*100)/$S$13</f>
        <v>16.666666666666668</v>
      </c>
      <c r="I12" s="80">
        <f t="shared" si="9"/>
        <v>25</v>
      </c>
      <c r="J12" s="80">
        <f t="shared" si="9"/>
        <v>33.333333333333336</v>
      </c>
      <c r="K12" s="80">
        <f t="shared" si="9"/>
        <v>41.666666666666664</v>
      </c>
      <c r="L12" s="80">
        <f t="shared" si="9"/>
        <v>50</v>
      </c>
      <c r="M12" s="80">
        <f t="shared" si="9"/>
        <v>58.333333333333336</v>
      </c>
      <c r="N12" s="80">
        <f t="shared" si="9"/>
        <v>66.666666666666671</v>
      </c>
      <c r="O12" s="80">
        <f t="shared" si="9"/>
        <v>75</v>
      </c>
      <c r="P12" s="80">
        <f t="shared" si="9"/>
        <v>83.333333333333329</v>
      </c>
      <c r="Q12" s="80">
        <f t="shared" si="9"/>
        <v>91.666666666666671</v>
      </c>
      <c r="R12" s="80">
        <f t="shared" si="9"/>
        <v>100</v>
      </c>
      <c r="S12" s="24"/>
      <c r="T12" s="24"/>
      <c r="U12" s="24"/>
      <c r="V12" s="24"/>
      <c r="W12" s="24"/>
      <c r="X12" s="24"/>
      <c r="Y12" s="24"/>
      <c r="Z12" s="24"/>
      <c r="AA12" s="87"/>
      <c r="AB12" s="89"/>
      <c r="AC12" s="89"/>
      <c r="AD12" s="89"/>
    </row>
    <row r="13" spans="1:30" s="25" customFormat="1" ht="25" hidden="1" customHeight="1" x14ac:dyDescent="0.2">
      <c r="A13" s="83"/>
      <c r="B13" s="20"/>
      <c r="C13" s="20"/>
      <c r="D13" s="20"/>
      <c r="E13" s="20"/>
      <c r="F13" s="21"/>
      <c r="G13" s="77">
        <f>G14</f>
        <v>1</v>
      </c>
      <c r="H13" s="77">
        <f>G13+H14</f>
        <v>2</v>
      </c>
      <c r="I13" s="77">
        <f t="shared" ref="I13:R13" si="10">H13+I14</f>
        <v>3</v>
      </c>
      <c r="J13" s="77">
        <f t="shared" si="10"/>
        <v>4</v>
      </c>
      <c r="K13" s="77">
        <f t="shared" si="10"/>
        <v>5</v>
      </c>
      <c r="L13" s="77">
        <f t="shared" si="10"/>
        <v>6</v>
      </c>
      <c r="M13" s="77">
        <f t="shared" si="10"/>
        <v>7</v>
      </c>
      <c r="N13" s="77">
        <f t="shared" si="10"/>
        <v>8</v>
      </c>
      <c r="O13" s="77">
        <f t="shared" si="10"/>
        <v>9</v>
      </c>
      <c r="P13" s="77">
        <f t="shared" si="10"/>
        <v>10</v>
      </c>
      <c r="Q13" s="77">
        <f t="shared" si="10"/>
        <v>11</v>
      </c>
      <c r="R13" s="77">
        <f t="shared" si="10"/>
        <v>12</v>
      </c>
      <c r="S13" s="22">
        <f>R13</f>
        <v>12</v>
      </c>
      <c r="T13" s="24"/>
      <c r="U13" s="24"/>
      <c r="V13" s="24"/>
      <c r="W13" s="24"/>
      <c r="X13" s="24"/>
      <c r="Y13" s="24"/>
      <c r="Z13" s="24"/>
      <c r="AA13" s="56"/>
      <c r="AB13" s="56"/>
      <c r="AC13" s="56"/>
      <c r="AD13" s="56"/>
    </row>
    <row r="14" spans="1:30" ht="56.25" customHeight="1" x14ac:dyDescent="0.2">
      <c r="A14" s="83"/>
      <c r="B14" s="160" t="s">
        <v>34</v>
      </c>
      <c r="C14" s="161"/>
      <c r="D14" s="161"/>
      <c r="E14" s="162"/>
      <c r="F14" s="21"/>
      <c r="G14" s="69">
        <v>1</v>
      </c>
      <c r="H14" s="69">
        <v>1</v>
      </c>
      <c r="I14" s="69">
        <v>1</v>
      </c>
      <c r="J14" s="69">
        <v>1</v>
      </c>
      <c r="K14" s="69">
        <v>1</v>
      </c>
      <c r="L14" s="69">
        <v>1</v>
      </c>
      <c r="M14" s="69">
        <v>1</v>
      </c>
      <c r="N14" s="69">
        <v>1</v>
      </c>
      <c r="O14" s="69">
        <v>1</v>
      </c>
      <c r="P14" s="69">
        <v>1</v>
      </c>
      <c r="Q14" s="69">
        <v>1</v>
      </c>
      <c r="R14" s="69">
        <v>1</v>
      </c>
      <c r="S14" s="22">
        <f t="shared" ref="S14" si="11">SUM(G14:R14)</f>
        <v>12</v>
      </c>
      <c r="T14" s="22"/>
      <c r="U14" s="22"/>
      <c r="V14" s="22"/>
      <c r="W14" s="22"/>
      <c r="X14" s="22"/>
      <c r="Y14" s="22"/>
      <c r="Z14" s="22"/>
      <c r="AA14" s="61"/>
      <c r="AB14" s="58" t="s">
        <v>35</v>
      </c>
      <c r="AC14" s="58" t="s">
        <v>36</v>
      </c>
      <c r="AD14" s="58"/>
    </row>
    <row r="15" spans="1:30" ht="57" customHeight="1" x14ac:dyDescent="0.2">
      <c r="A15" s="82"/>
      <c r="B15" s="85" t="s">
        <v>37</v>
      </c>
      <c r="C15" s="85"/>
      <c r="D15" s="85"/>
      <c r="E15" s="85"/>
      <c r="F15" s="21"/>
      <c r="G15" s="22"/>
      <c r="H15" s="22"/>
      <c r="I15" s="22"/>
      <c r="J15" s="80">
        <f>(J16*100)/$S$16</f>
        <v>33.333333333333336</v>
      </c>
      <c r="K15" s="80">
        <f t="shared" ref="K15:L15" si="12">(K16*100)/$S$16</f>
        <v>66.666666666666671</v>
      </c>
      <c r="L15" s="80">
        <f t="shared" si="12"/>
        <v>100</v>
      </c>
      <c r="M15" s="76">
        <v>100</v>
      </c>
      <c r="N15" s="76">
        <v>100</v>
      </c>
      <c r="O15" s="76">
        <v>100</v>
      </c>
      <c r="P15" s="76">
        <v>100</v>
      </c>
      <c r="Q15" s="76">
        <v>100</v>
      </c>
      <c r="R15" s="76">
        <v>100</v>
      </c>
      <c r="S15" s="22"/>
      <c r="T15" s="22"/>
      <c r="U15" s="22"/>
      <c r="V15" s="22"/>
      <c r="W15" s="22"/>
      <c r="X15" s="22"/>
      <c r="Y15" s="22"/>
      <c r="Z15" s="22"/>
      <c r="AA15" s="86"/>
      <c r="AB15" s="87"/>
      <c r="AC15" s="88" t="s">
        <v>38</v>
      </c>
      <c r="AD15" s="88"/>
    </row>
    <row r="16" spans="1:30" ht="36" hidden="1" customHeight="1" x14ac:dyDescent="0.2">
      <c r="A16" s="83"/>
      <c r="B16" s="20"/>
      <c r="C16" s="20"/>
      <c r="D16" s="20"/>
      <c r="E16" s="20"/>
      <c r="F16" s="21"/>
      <c r="G16" s="22"/>
      <c r="H16" s="22"/>
      <c r="I16" s="22"/>
      <c r="J16" s="77">
        <f>J17</f>
        <v>1</v>
      </c>
      <c r="K16" s="77">
        <f>J16+K17</f>
        <v>2</v>
      </c>
      <c r="L16" s="77">
        <f t="shared" ref="L16:R16" si="13">K16+L17</f>
        <v>3</v>
      </c>
      <c r="M16" s="78">
        <f t="shared" si="13"/>
        <v>3</v>
      </c>
      <c r="N16" s="78">
        <f t="shared" si="13"/>
        <v>3</v>
      </c>
      <c r="O16" s="78">
        <f t="shared" si="13"/>
        <v>3</v>
      </c>
      <c r="P16" s="78">
        <f t="shared" si="13"/>
        <v>3</v>
      </c>
      <c r="Q16" s="78">
        <f t="shared" si="13"/>
        <v>3</v>
      </c>
      <c r="R16" s="78">
        <f t="shared" si="13"/>
        <v>3</v>
      </c>
      <c r="S16" s="22">
        <f>R16</f>
        <v>3</v>
      </c>
      <c r="T16" s="22"/>
      <c r="U16" s="22"/>
      <c r="V16" s="22"/>
      <c r="W16" s="22"/>
      <c r="X16" s="22"/>
      <c r="Y16" s="22"/>
      <c r="Z16" s="22"/>
      <c r="AA16" s="86"/>
      <c r="AB16" s="87"/>
      <c r="AC16" s="89"/>
      <c r="AD16" s="89"/>
    </row>
    <row r="17" spans="1:30" ht="42.75" customHeight="1" x14ac:dyDescent="0.2">
      <c r="A17" s="83"/>
      <c r="B17" s="91" t="s">
        <v>39</v>
      </c>
      <c r="C17" s="91"/>
      <c r="D17" s="91"/>
      <c r="E17" s="91"/>
      <c r="F17" s="21"/>
      <c r="G17" s="22"/>
      <c r="H17" s="22"/>
      <c r="I17" s="22"/>
      <c r="J17" s="66">
        <v>1</v>
      </c>
      <c r="K17" s="66">
        <v>1</v>
      </c>
      <c r="L17" s="66">
        <v>1</v>
      </c>
      <c r="M17" s="73"/>
      <c r="N17" s="73"/>
      <c r="O17" s="22"/>
      <c r="P17" s="22"/>
      <c r="Q17" s="22"/>
      <c r="R17" s="22"/>
      <c r="S17" s="22">
        <f>SUM(G17:R17)</f>
        <v>3</v>
      </c>
      <c r="T17" s="22"/>
      <c r="U17" s="22"/>
      <c r="V17" s="22"/>
      <c r="W17" s="22"/>
      <c r="X17" s="22"/>
      <c r="Y17" s="22"/>
      <c r="Z17" s="22"/>
      <c r="AA17" s="86"/>
      <c r="AB17" s="87"/>
      <c r="AC17" s="89"/>
      <c r="AD17" s="89"/>
    </row>
    <row r="18" spans="1:30" x14ac:dyDescent="0.2">
      <c r="A18" s="83"/>
      <c r="B18" s="85" t="s">
        <v>40</v>
      </c>
      <c r="C18" s="85"/>
      <c r="D18" s="85"/>
      <c r="E18" s="85"/>
      <c r="F18" s="21"/>
      <c r="G18" s="22"/>
      <c r="H18" s="22"/>
      <c r="I18" s="22"/>
      <c r="J18" s="22"/>
      <c r="K18" s="22"/>
      <c r="L18" s="22"/>
      <c r="M18" s="80">
        <f>(M19*100)/$S$19</f>
        <v>20</v>
      </c>
      <c r="N18" s="80">
        <f t="shared" ref="N18:Q18" si="14">(N19*100)/$S$19</f>
        <v>40</v>
      </c>
      <c r="O18" s="80">
        <f t="shared" si="14"/>
        <v>60</v>
      </c>
      <c r="P18" s="80">
        <f t="shared" si="14"/>
        <v>80</v>
      </c>
      <c r="Q18" s="80">
        <f t="shared" si="14"/>
        <v>100</v>
      </c>
      <c r="R18" s="76">
        <v>100</v>
      </c>
      <c r="S18" s="22"/>
      <c r="T18" s="22"/>
      <c r="U18" s="22"/>
      <c r="V18" s="22"/>
      <c r="W18" s="22"/>
      <c r="X18" s="22"/>
      <c r="Y18" s="22"/>
      <c r="Z18" s="22"/>
      <c r="AA18" s="60"/>
      <c r="AB18" s="61"/>
      <c r="AC18" s="59"/>
      <c r="AD18" s="59"/>
    </row>
    <row r="19" spans="1:30" ht="23.25" hidden="1" customHeight="1" x14ac:dyDescent="0.2">
      <c r="A19" s="83"/>
      <c r="B19" s="20"/>
      <c r="C19" s="20"/>
      <c r="D19" s="20"/>
      <c r="E19" s="20"/>
      <c r="F19" s="21"/>
      <c r="G19" s="22"/>
      <c r="H19" s="22"/>
      <c r="I19" s="22"/>
      <c r="J19" s="22"/>
      <c r="K19" s="22"/>
      <c r="L19" s="22"/>
      <c r="M19" s="77">
        <f>M20</f>
        <v>1</v>
      </c>
      <c r="N19" s="77">
        <f>M19+N20</f>
        <v>2</v>
      </c>
      <c r="O19" s="77">
        <f t="shared" ref="O19" si="15">N19+O20</f>
        <v>3</v>
      </c>
      <c r="P19" s="77">
        <f>O19+P20+P21</f>
        <v>4</v>
      </c>
      <c r="Q19" s="77">
        <f>P19+Q20+Q21</f>
        <v>5</v>
      </c>
      <c r="R19" s="77">
        <f t="shared" ref="R19" si="16">Q19+R20</f>
        <v>5</v>
      </c>
      <c r="S19" s="22">
        <f>R19</f>
        <v>5</v>
      </c>
      <c r="T19" s="22"/>
      <c r="U19" s="22"/>
      <c r="V19" s="22"/>
      <c r="W19" s="22"/>
      <c r="X19" s="22"/>
      <c r="Y19" s="22"/>
      <c r="Z19" s="22"/>
      <c r="AA19" s="60"/>
      <c r="AB19" s="61"/>
      <c r="AC19" s="59"/>
      <c r="AD19" s="59"/>
    </row>
    <row r="20" spans="1:30" ht="41.25" customHeight="1" x14ac:dyDescent="0.2">
      <c r="A20" s="83"/>
      <c r="B20" s="91" t="s">
        <v>41</v>
      </c>
      <c r="C20" s="91"/>
      <c r="D20" s="91"/>
      <c r="E20" s="91"/>
      <c r="F20" s="21"/>
      <c r="G20" s="22"/>
      <c r="H20" s="22"/>
      <c r="I20" s="22"/>
      <c r="J20" s="22"/>
      <c r="K20" s="22"/>
      <c r="L20" s="22"/>
      <c r="M20" s="66">
        <v>1</v>
      </c>
      <c r="N20" s="66">
        <v>1</v>
      </c>
      <c r="O20" s="66">
        <v>1</v>
      </c>
      <c r="P20" s="22"/>
      <c r="Q20" s="22"/>
      <c r="R20" s="22"/>
      <c r="S20" s="22">
        <f>SUM(G20:R20)</f>
        <v>3</v>
      </c>
      <c r="T20" s="22"/>
      <c r="U20" s="22"/>
      <c r="V20" s="22"/>
      <c r="W20" s="22"/>
      <c r="X20" s="22"/>
      <c r="Y20" s="22"/>
      <c r="Z20" s="22"/>
      <c r="AA20" s="60"/>
      <c r="AB20" s="61"/>
      <c r="AC20" s="133" t="s">
        <v>42</v>
      </c>
      <c r="AD20" s="59"/>
    </row>
    <row r="21" spans="1:30" ht="54.75" customHeight="1" x14ac:dyDescent="0.2">
      <c r="A21" s="83"/>
      <c r="B21" s="153" t="s">
        <v>43</v>
      </c>
      <c r="C21" s="154"/>
      <c r="D21" s="154"/>
      <c r="E21" s="155"/>
      <c r="F21" s="21"/>
      <c r="G21" s="22"/>
      <c r="H21" s="22"/>
      <c r="I21" s="22"/>
      <c r="J21" s="22"/>
      <c r="K21" s="22"/>
      <c r="L21" s="22"/>
      <c r="M21" s="22"/>
      <c r="N21" s="73"/>
      <c r="O21" s="73"/>
      <c r="P21" s="66">
        <v>1</v>
      </c>
      <c r="Q21" s="66">
        <v>1</v>
      </c>
      <c r="R21" s="73"/>
      <c r="S21" s="22">
        <f t="shared" ref="S21" si="17">SUM(G21:R21)</f>
        <v>2</v>
      </c>
      <c r="T21" s="22"/>
      <c r="U21" s="22"/>
      <c r="V21" s="22"/>
      <c r="W21" s="22"/>
      <c r="X21" s="22"/>
      <c r="Y21" s="22"/>
      <c r="Z21" s="22"/>
      <c r="AA21" s="60"/>
      <c r="AB21" s="61"/>
      <c r="AC21" s="163"/>
      <c r="AD21" s="59"/>
    </row>
    <row r="22" spans="1:30" s="25" customFormat="1" ht="27" customHeight="1" x14ac:dyDescent="0.4">
      <c r="A22" s="83"/>
      <c r="B22" s="85" t="s">
        <v>44</v>
      </c>
      <c r="C22" s="85"/>
      <c r="D22" s="85"/>
      <c r="E22" s="85"/>
      <c r="F22" s="21"/>
      <c r="G22" s="24"/>
      <c r="H22" s="24"/>
      <c r="I22" s="24"/>
      <c r="J22" s="24"/>
      <c r="K22" s="74"/>
      <c r="L22" s="74"/>
      <c r="M22" s="74"/>
      <c r="N22" s="74"/>
      <c r="O22" s="74"/>
      <c r="P22" s="81">
        <f>(P23*100)/$S$23</f>
        <v>33.333333333333336</v>
      </c>
      <c r="Q22" s="81">
        <f t="shared" ref="Q22:R22" si="18">(Q23*100)/$S$23</f>
        <v>66.666666666666671</v>
      </c>
      <c r="R22" s="81">
        <f t="shared" si="18"/>
        <v>100</v>
      </c>
      <c r="S22" s="24"/>
      <c r="T22" s="24"/>
      <c r="U22" s="24"/>
      <c r="V22" s="24"/>
      <c r="W22" s="24"/>
      <c r="X22" s="24"/>
      <c r="Y22" s="24"/>
      <c r="Z22" s="24"/>
      <c r="AA22" s="87"/>
      <c r="AB22" s="88" t="s">
        <v>45</v>
      </c>
      <c r="AC22" s="88" t="s">
        <v>46</v>
      </c>
      <c r="AD22" s="88"/>
    </row>
    <row r="23" spans="1:30" s="25" customFormat="1" ht="18" hidden="1" customHeight="1" x14ac:dyDescent="0.2">
      <c r="A23" s="83"/>
      <c r="B23" s="20"/>
      <c r="C23" s="20"/>
      <c r="D23" s="20"/>
      <c r="E23" s="20"/>
      <c r="F23" s="21"/>
      <c r="G23" s="24"/>
      <c r="H23" s="24"/>
      <c r="I23" s="24"/>
      <c r="J23" s="24"/>
      <c r="K23" s="24"/>
      <c r="L23" s="24"/>
      <c r="M23" s="24"/>
      <c r="N23" s="24"/>
      <c r="O23" s="24"/>
      <c r="P23" s="24">
        <f>O23+SUM(P24:P24)</f>
        <v>1</v>
      </c>
      <c r="Q23" s="24">
        <f>P23+SUM(Q24:Q24)</f>
        <v>2</v>
      </c>
      <c r="R23" s="24">
        <f>Q23+SUM(R24:R24)</f>
        <v>3</v>
      </c>
      <c r="S23" s="22">
        <f>R23</f>
        <v>3</v>
      </c>
      <c r="T23" s="24"/>
      <c r="U23" s="24"/>
      <c r="V23" s="24"/>
      <c r="W23" s="24"/>
      <c r="X23" s="24"/>
      <c r="Y23" s="24"/>
      <c r="Z23" s="24"/>
      <c r="AA23" s="87"/>
      <c r="AB23" s="89"/>
      <c r="AC23" s="89"/>
      <c r="AD23" s="89"/>
    </row>
    <row r="24" spans="1:30" s="25" customFormat="1" ht="50.25" customHeight="1" x14ac:dyDescent="0.2">
      <c r="A24" s="83"/>
      <c r="B24" s="156" t="s">
        <v>47</v>
      </c>
      <c r="C24" s="157"/>
      <c r="D24" s="157"/>
      <c r="E24" s="158"/>
      <c r="F24" s="21"/>
      <c r="G24" s="24"/>
      <c r="H24" s="24"/>
      <c r="I24" s="24"/>
      <c r="J24" s="24"/>
      <c r="K24" s="75"/>
      <c r="L24" s="75"/>
      <c r="M24" s="75"/>
      <c r="N24" s="75"/>
      <c r="O24" s="75"/>
      <c r="P24" s="66">
        <v>1</v>
      </c>
      <c r="Q24" s="66">
        <v>1</v>
      </c>
      <c r="R24" s="66">
        <v>1</v>
      </c>
      <c r="S24" s="22">
        <f t="shared" ref="S24" si="19">SUM(G24:R24)</f>
        <v>3</v>
      </c>
      <c r="T24" s="24"/>
      <c r="U24" s="24"/>
      <c r="V24" s="24"/>
      <c r="W24" s="24"/>
      <c r="X24" s="24"/>
      <c r="Y24" s="24"/>
      <c r="Z24" s="24"/>
      <c r="AA24" s="87"/>
      <c r="AB24" s="89"/>
      <c r="AC24" s="89"/>
      <c r="AD24" s="89"/>
    </row>
    <row r="25" spans="1:30" s="25" customFormat="1" ht="29" customHeight="1" x14ac:dyDescent="0.4">
      <c r="A25" s="83"/>
      <c r="B25" s="85" t="s">
        <v>48</v>
      </c>
      <c r="C25" s="85"/>
      <c r="D25" s="85"/>
      <c r="E25" s="85"/>
      <c r="F25" s="21"/>
      <c r="G25" s="24"/>
      <c r="H25" s="24"/>
      <c r="I25" s="24"/>
      <c r="J25" s="24"/>
      <c r="K25" s="74"/>
      <c r="L25" s="74"/>
      <c r="M25" s="74"/>
      <c r="N25" s="74"/>
      <c r="O25" s="74"/>
      <c r="P25" s="81">
        <f>(P26*100)/$S$26</f>
        <v>33.333333333333336</v>
      </c>
      <c r="Q25" s="81">
        <f t="shared" ref="Q25:R25" si="20">(Q26*100)/$S$26</f>
        <v>66.666666666666671</v>
      </c>
      <c r="R25" s="81">
        <f t="shared" si="20"/>
        <v>100</v>
      </c>
      <c r="S25" s="24"/>
      <c r="T25" s="24"/>
      <c r="U25" s="24"/>
      <c r="V25" s="24"/>
      <c r="W25" s="24"/>
      <c r="X25" s="24"/>
      <c r="Y25" s="24"/>
      <c r="Z25" s="24"/>
      <c r="AA25" s="87"/>
      <c r="AB25" s="89"/>
      <c r="AC25" s="89"/>
      <c r="AD25" s="89"/>
    </row>
    <row r="26" spans="1:30" s="25" customFormat="1" ht="18" hidden="1" customHeight="1" x14ac:dyDescent="0.2">
      <c r="A26" s="83"/>
      <c r="B26" s="20"/>
      <c r="C26" s="20"/>
      <c r="D26" s="20"/>
      <c r="E26" s="20"/>
      <c r="F26" s="21"/>
      <c r="G26" s="24"/>
      <c r="H26" s="24"/>
      <c r="I26" s="24"/>
      <c r="J26" s="24"/>
      <c r="K26" s="24"/>
      <c r="L26" s="24"/>
      <c r="M26" s="24"/>
      <c r="N26" s="24"/>
      <c r="O26" s="24"/>
      <c r="P26" s="24">
        <f>O26+SUM(P27:P27)</f>
        <v>1</v>
      </c>
      <c r="Q26" s="24">
        <f>P26+SUM(Q27:Q27)</f>
        <v>2</v>
      </c>
      <c r="R26" s="24">
        <f>Q26+SUM(R27:R27)</f>
        <v>3</v>
      </c>
      <c r="S26" s="22">
        <f>R26</f>
        <v>3</v>
      </c>
      <c r="T26" s="24"/>
      <c r="U26" s="24"/>
      <c r="V26" s="24"/>
      <c r="W26" s="24"/>
      <c r="X26" s="24"/>
      <c r="Y26" s="24"/>
      <c r="Z26" s="24"/>
      <c r="AA26" s="87"/>
      <c r="AB26" s="89"/>
      <c r="AC26" s="89"/>
      <c r="AD26" s="89"/>
    </row>
    <row r="27" spans="1:30" s="25" customFormat="1" ht="72.75" customHeight="1" x14ac:dyDescent="0.2">
      <c r="A27" s="83"/>
      <c r="B27" s="156" t="s">
        <v>49</v>
      </c>
      <c r="C27" s="157"/>
      <c r="D27" s="157"/>
      <c r="E27" s="158"/>
      <c r="F27" s="21"/>
      <c r="G27" s="24"/>
      <c r="H27" s="24"/>
      <c r="I27" s="24"/>
      <c r="J27" s="24"/>
      <c r="K27" s="75"/>
      <c r="L27" s="75"/>
      <c r="M27" s="75"/>
      <c r="N27" s="75"/>
      <c r="O27" s="75"/>
      <c r="P27" s="66">
        <v>1</v>
      </c>
      <c r="Q27" s="66">
        <v>1</v>
      </c>
      <c r="R27" s="66">
        <v>1</v>
      </c>
      <c r="S27" s="22">
        <f t="shared" ref="S27" si="21">SUM(G27:R27)</f>
        <v>3</v>
      </c>
      <c r="T27" s="24"/>
      <c r="U27" s="24"/>
      <c r="V27" s="24"/>
      <c r="W27" s="24"/>
      <c r="X27" s="24"/>
      <c r="Y27" s="24"/>
      <c r="Z27" s="24"/>
      <c r="AA27" s="87"/>
      <c r="AB27" s="89"/>
      <c r="AC27" s="89"/>
      <c r="AD27" s="89"/>
    </row>
    <row r="28" spans="1:30" s="25" customFormat="1" ht="29" customHeight="1" x14ac:dyDescent="0.4">
      <c r="A28" s="83"/>
      <c r="B28" s="85" t="s">
        <v>50</v>
      </c>
      <c r="C28" s="85"/>
      <c r="D28" s="85"/>
      <c r="E28" s="85"/>
      <c r="F28" s="21"/>
      <c r="G28" s="24"/>
      <c r="H28" s="24"/>
      <c r="I28" s="24"/>
      <c r="J28" s="24"/>
      <c r="K28" s="74"/>
      <c r="L28" s="74"/>
      <c r="M28" s="74"/>
      <c r="N28" s="74"/>
      <c r="O28" s="74"/>
      <c r="P28" s="81">
        <f>(P29*100)/$S$29</f>
        <v>33.333333333333336</v>
      </c>
      <c r="Q28" s="81">
        <f t="shared" ref="Q28:R28" si="22">(Q29*100)/$S$29</f>
        <v>66.666666666666671</v>
      </c>
      <c r="R28" s="81">
        <f t="shared" si="22"/>
        <v>100</v>
      </c>
      <c r="S28" s="24"/>
      <c r="T28" s="24"/>
      <c r="U28" s="24"/>
      <c r="V28" s="24"/>
      <c r="W28" s="24"/>
      <c r="X28" s="24"/>
      <c r="Y28" s="24"/>
      <c r="Z28" s="24"/>
      <c r="AA28" s="87"/>
      <c r="AB28" s="89"/>
      <c r="AC28" s="89"/>
      <c r="AD28" s="89"/>
    </row>
    <row r="29" spans="1:30" s="25" customFormat="1" ht="18" hidden="1" customHeight="1" x14ac:dyDescent="0.2">
      <c r="A29" s="83"/>
      <c r="B29" s="20"/>
      <c r="C29" s="20"/>
      <c r="D29" s="20"/>
      <c r="E29" s="20"/>
      <c r="F29" s="21"/>
      <c r="G29" s="24"/>
      <c r="H29" s="24"/>
      <c r="I29" s="24"/>
      <c r="J29" s="24"/>
      <c r="K29" s="24"/>
      <c r="L29" s="24"/>
      <c r="M29" s="24"/>
      <c r="N29" s="24"/>
      <c r="O29" s="24"/>
      <c r="P29" s="24">
        <f>O29+SUM(P30:P30)</f>
        <v>1</v>
      </c>
      <c r="Q29" s="24">
        <f>P29+SUM(Q30:Q30)</f>
        <v>2</v>
      </c>
      <c r="R29" s="24">
        <f>Q29+SUM(R30:R30)</f>
        <v>3</v>
      </c>
      <c r="S29" s="22">
        <f>R29</f>
        <v>3</v>
      </c>
      <c r="T29" s="24"/>
      <c r="U29" s="24"/>
      <c r="V29" s="24"/>
      <c r="W29" s="24"/>
      <c r="X29" s="24"/>
      <c r="Y29" s="24"/>
      <c r="Z29" s="24"/>
      <c r="AA29" s="87"/>
      <c r="AB29" s="89"/>
      <c r="AC29" s="89"/>
      <c r="AD29" s="89"/>
    </row>
    <row r="30" spans="1:30" s="25" customFormat="1" ht="25" customHeight="1" x14ac:dyDescent="0.2">
      <c r="A30" s="83"/>
      <c r="B30" s="156" t="s">
        <v>51</v>
      </c>
      <c r="C30" s="157"/>
      <c r="D30" s="157"/>
      <c r="E30" s="158"/>
      <c r="F30" s="21"/>
      <c r="G30" s="24"/>
      <c r="H30" s="24"/>
      <c r="I30" s="24"/>
      <c r="J30" s="24"/>
      <c r="K30" s="75"/>
      <c r="L30" s="75"/>
      <c r="M30" s="75"/>
      <c r="N30" s="75"/>
      <c r="O30" s="75"/>
      <c r="P30" s="66">
        <v>1</v>
      </c>
      <c r="Q30" s="66">
        <v>1</v>
      </c>
      <c r="R30" s="66">
        <v>1</v>
      </c>
      <c r="S30" s="22">
        <f t="shared" ref="S30" si="23">SUM(G30:R30)</f>
        <v>3</v>
      </c>
      <c r="T30" s="24"/>
      <c r="U30" s="24"/>
      <c r="V30" s="24"/>
      <c r="W30" s="24"/>
      <c r="X30" s="24"/>
      <c r="Y30" s="24"/>
      <c r="Z30" s="24"/>
      <c r="AA30" s="87"/>
      <c r="AB30" s="89"/>
      <c r="AC30" s="89"/>
      <c r="AD30" s="89"/>
    </row>
    <row r="31" spans="1:30" s="25" customFormat="1" ht="29" customHeight="1" x14ac:dyDescent="0.4">
      <c r="A31" s="83"/>
      <c r="B31" s="85" t="s">
        <v>52</v>
      </c>
      <c r="C31" s="85"/>
      <c r="D31" s="85"/>
      <c r="E31" s="85"/>
      <c r="F31" s="21"/>
      <c r="G31" s="81">
        <f>(G32*100)/$S$32</f>
        <v>8.3333333333333339</v>
      </c>
      <c r="H31" s="81">
        <f t="shared" ref="H31:R31" si="24">(H32*100)/$S$32</f>
        <v>16.666666666666668</v>
      </c>
      <c r="I31" s="81">
        <f t="shared" si="24"/>
        <v>25</v>
      </c>
      <c r="J31" s="81">
        <f t="shared" si="24"/>
        <v>33.333333333333336</v>
      </c>
      <c r="K31" s="81">
        <f t="shared" si="24"/>
        <v>41.666666666666664</v>
      </c>
      <c r="L31" s="81">
        <f t="shared" si="24"/>
        <v>50</v>
      </c>
      <c r="M31" s="81">
        <f t="shared" si="24"/>
        <v>58.333333333333336</v>
      </c>
      <c r="N31" s="81">
        <f t="shared" si="24"/>
        <v>66.666666666666671</v>
      </c>
      <c r="O31" s="81">
        <f t="shared" si="24"/>
        <v>75</v>
      </c>
      <c r="P31" s="81">
        <f t="shared" si="24"/>
        <v>83.333333333333329</v>
      </c>
      <c r="Q31" s="81">
        <f t="shared" si="24"/>
        <v>91.666666666666671</v>
      </c>
      <c r="R31" s="81">
        <f t="shared" si="24"/>
        <v>100</v>
      </c>
      <c r="S31" s="24"/>
      <c r="T31" s="24"/>
      <c r="U31" s="24"/>
      <c r="V31" s="24"/>
      <c r="W31" s="24"/>
      <c r="X31" s="24"/>
      <c r="Y31" s="24"/>
      <c r="Z31" s="24"/>
      <c r="AA31" s="87"/>
      <c r="AB31" s="89"/>
      <c r="AC31" s="89"/>
      <c r="AD31" s="89"/>
    </row>
    <row r="32" spans="1:30" s="25" customFormat="1" ht="18" hidden="1" customHeight="1" x14ac:dyDescent="0.2">
      <c r="A32" s="83"/>
      <c r="B32" s="20"/>
      <c r="C32" s="20"/>
      <c r="D32" s="20"/>
      <c r="E32" s="20"/>
      <c r="F32" s="21"/>
      <c r="G32" s="77">
        <f>G33</f>
        <v>1</v>
      </c>
      <c r="H32" s="77">
        <f>G32+H33</f>
        <v>2</v>
      </c>
      <c r="I32" s="77">
        <f t="shared" ref="I32:R32" si="25">H32+I33</f>
        <v>3</v>
      </c>
      <c r="J32" s="77">
        <f t="shared" si="25"/>
        <v>4</v>
      </c>
      <c r="K32" s="77">
        <f t="shared" si="25"/>
        <v>5</v>
      </c>
      <c r="L32" s="77">
        <f t="shared" si="25"/>
        <v>6</v>
      </c>
      <c r="M32" s="77">
        <f t="shared" si="25"/>
        <v>7</v>
      </c>
      <c r="N32" s="77">
        <f t="shared" si="25"/>
        <v>8</v>
      </c>
      <c r="O32" s="77">
        <f t="shared" si="25"/>
        <v>9</v>
      </c>
      <c r="P32" s="77">
        <f t="shared" si="25"/>
        <v>10</v>
      </c>
      <c r="Q32" s="77">
        <f t="shared" si="25"/>
        <v>11</v>
      </c>
      <c r="R32" s="77">
        <f t="shared" si="25"/>
        <v>12</v>
      </c>
      <c r="S32" s="22">
        <f>R32</f>
        <v>12</v>
      </c>
      <c r="T32" s="24"/>
      <c r="U32" s="24"/>
      <c r="V32" s="24"/>
      <c r="W32" s="24"/>
      <c r="X32" s="24"/>
      <c r="Y32" s="24"/>
      <c r="Z32" s="24"/>
      <c r="AA32" s="87"/>
      <c r="AB32" s="89"/>
      <c r="AC32" s="89"/>
      <c r="AD32" s="89"/>
    </row>
    <row r="33" spans="1:30" s="25" customFormat="1" ht="25" customHeight="1" x14ac:dyDescent="0.2">
      <c r="A33" s="83"/>
      <c r="B33" s="156" t="s">
        <v>53</v>
      </c>
      <c r="C33" s="157"/>
      <c r="D33" s="157"/>
      <c r="E33" s="158"/>
      <c r="F33" s="21"/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  <c r="P33" s="69">
        <v>1</v>
      </c>
      <c r="Q33" s="69">
        <v>1</v>
      </c>
      <c r="R33" s="69">
        <v>1</v>
      </c>
      <c r="S33" s="22">
        <f t="shared" ref="S33" si="26">SUM(G33:R33)</f>
        <v>12</v>
      </c>
      <c r="T33" s="24"/>
      <c r="U33" s="24"/>
      <c r="V33" s="24"/>
      <c r="W33" s="24"/>
      <c r="X33" s="24"/>
      <c r="Y33" s="24"/>
      <c r="Z33" s="24"/>
      <c r="AA33" s="87"/>
      <c r="AB33" s="89"/>
      <c r="AC33" s="89"/>
      <c r="AD33" s="89"/>
    </row>
    <row r="34" spans="1:30" s="25" customFormat="1" ht="29" customHeight="1" x14ac:dyDescent="0.4">
      <c r="A34" s="83"/>
      <c r="B34" s="85" t="s">
        <v>54</v>
      </c>
      <c r="C34" s="85"/>
      <c r="D34" s="85"/>
      <c r="E34" s="85"/>
      <c r="F34" s="21"/>
      <c r="G34" s="24"/>
      <c r="H34" s="24"/>
      <c r="I34" s="24"/>
      <c r="J34" s="81">
        <f>(J35*100)/$S$35</f>
        <v>16.666666666666668</v>
      </c>
      <c r="K34" s="81">
        <f t="shared" ref="K34:O34" si="27">(K35*100)/$S$35</f>
        <v>33.333333333333336</v>
      </c>
      <c r="L34" s="81">
        <f t="shared" si="27"/>
        <v>50</v>
      </c>
      <c r="M34" s="81">
        <f t="shared" si="27"/>
        <v>66.666666666666671</v>
      </c>
      <c r="N34" s="81">
        <f t="shared" si="27"/>
        <v>83.333333333333329</v>
      </c>
      <c r="O34" s="81">
        <f t="shared" si="27"/>
        <v>100</v>
      </c>
      <c r="P34" s="79">
        <v>100</v>
      </c>
      <c r="Q34" s="79">
        <v>100</v>
      </c>
      <c r="R34" s="79">
        <v>100</v>
      </c>
      <c r="S34" s="24"/>
      <c r="T34" s="24"/>
      <c r="U34" s="24"/>
      <c r="V34" s="24"/>
      <c r="W34" s="24"/>
      <c r="X34" s="24"/>
      <c r="Y34" s="24"/>
      <c r="Z34" s="24"/>
      <c r="AA34" s="87"/>
      <c r="AB34" s="89"/>
      <c r="AC34" s="89"/>
      <c r="AD34" s="89"/>
    </row>
    <row r="35" spans="1:30" s="25" customFormat="1" ht="18" hidden="1" customHeight="1" x14ac:dyDescent="0.2">
      <c r="A35" s="83"/>
      <c r="B35" s="20"/>
      <c r="C35" s="20"/>
      <c r="D35" s="20"/>
      <c r="E35" s="20"/>
      <c r="F35" s="21"/>
      <c r="G35" s="24"/>
      <c r="H35" s="24"/>
      <c r="I35" s="24"/>
      <c r="J35" s="77">
        <f>J36</f>
        <v>1</v>
      </c>
      <c r="K35" s="77">
        <f>J35+K36</f>
        <v>2</v>
      </c>
      <c r="L35" s="77">
        <f t="shared" ref="L35:O35" si="28">K35+L36</f>
        <v>3</v>
      </c>
      <c r="M35" s="77">
        <f t="shared" si="28"/>
        <v>4</v>
      </c>
      <c r="N35" s="77">
        <f t="shared" si="28"/>
        <v>5</v>
      </c>
      <c r="O35" s="77">
        <f t="shared" si="28"/>
        <v>6</v>
      </c>
      <c r="P35" s="35">
        <f>O35+SUM(P36:P36)</f>
        <v>6</v>
      </c>
      <c r="Q35" s="35">
        <f>P35+SUM(Q36:Q36)</f>
        <v>6</v>
      </c>
      <c r="R35" s="35">
        <f>Q35+SUM(R36:R36)</f>
        <v>6</v>
      </c>
      <c r="S35" s="22">
        <f>R35</f>
        <v>6</v>
      </c>
      <c r="T35" s="24"/>
      <c r="U35" s="24"/>
      <c r="V35" s="24"/>
      <c r="W35" s="24"/>
      <c r="X35" s="24"/>
      <c r="Y35" s="24"/>
      <c r="Z35" s="24"/>
      <c r="AA35" s="87"/>
      <c r="AB35" s="89"/>
      <c r="AC35" s="89"/>
      <c r="AD35" s="89"/>
    </row>
    <row r="36" spans="1:30" s="25" customFormat="1" ht="25" customHeight="1" x14ac:dyDescent="0.2">
      <c r="A36" s="83"/>
      <c r="B36" s="156" t="s">
        <v>55</v>
      </c>
      <c r="C36" s="157"/>
      <c r="D36" s="157"/>
      <c r="E36" s="158"/>
      <c r="F36" s="21"/>
      <c r="G36" s="24"/>
      <c r="H36" s="24"/>
      <c r="I36" s="24"/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  <c r="P36" s="35"/>
      <c r="Q36" s="35"/>
      <c r="R36" s="35"/>
      <c r="S36" s="22">
        <f>R36</f>
        <v>0</v>
      </c>
      <c r="T36" s="24"/>
      <c r="U36" s="24"/>
      <c r="V36" s="24"/>
      <c r="W36" s="24"/>
      <c r="X36" s="24"/>
      <c r="Y36" s="24"/>
      <c r="Z36" s="24"/>
      <c r="AA36" s="87"/>
      <c r="AB36" s="89"/>
      <c r="AC36" s="89"/>
      <c r="AD36" s="89"/>
    </row>
    <row r="37" spans="1:30" s="25" customFormat="1" ht="29" customHeight="1" x14ac:dyDescent="0.4">
      <c r="A37" s="83"/>
      <c r="B37" s="85" t="s">
        <v>56</v>
      </c>
      <c r="C37" s="85"/>
      <c r="D37" s="85"/>
      <c r="E37" s="85"/>
      <c r="F37" s="21"/>
      <c r="G37" s="24"/>
      <c r="H37" s="24"/>
      <c r="I37" s="24"/>
      <c r="J37" s="24"/>
      <c r="K37" s="74"/>
      <c r="L37" s="74"/>
      <c r="M37" s="81">
        <f>(M38*100)/$S$38</f>
        <v>33.333333333333336</v>
      </c>
      <c r="N37" s="81">
        <f t="shared" ref="N37:O37" si="29">(N38*100)/$S$38</f>
        <v>66.666666666666671</v>
      </c>
      <c r="O37" s="81">
        <f t="shared" si="29"/>
        <v>100</v>
      </c>
      <c r="P37" s="79">
        <v>100</v>
      </c>
      <c r="Q37" s="79">
        <v>100</v>
      </c>
      <c r="R37" s="79">
        <v>100</v>
      </c>
      <c r="S37" s="24"/>
      <c r="T37" s="24"/>
      <c r="U37" s="24"/>
      <c r="V37" s="24"/>
      <c r="W37" s="24"/>
      <c r="X37" s="24"/>
      <c r="Y37" s="24"/>
      <c r="Z37" s="24"/>
      <c r="AA37" s="87"/>
      <c r="AB37" s="89"/>
      <c r="AC37" s="89"/>
      <c r="AD37" s="89"/>
    </row>
    <row r="38" spans="1:30" s="25" customFormat="1" ht="18" hidden="1" customHeight="1" x14ac:dyDescent="0.2">
      <c r="A38" s="83"/>
      <c r="B38" s="20"/>
      <c r="C38" s="20"/>
      <c r="D38" s="20"/>
      <c r="E38" s="20"/>
      <c r="F38" s="21"/>
      <c r="G38" s="24"/>
      <c r="H38" s="24"/>
      <c r="I38" s="24"/>
      <c r="J38" s="24"/>
      <c r="K38" s="24"/>
      <c r="L38" s="24"/>
      <c r="M38" s="24">
        <f>L38+(SUM(M39:M39))</f>
        <v>1</v>
      </c>
      <c r="N38" s="24">
        <f>M38+(SUM(N39:N39))</f>
        <v>2</v>
      </c>
      <c r="O38" s="24">
        <f>N38+SUM(O39:O39)</f>
        <v>3</v>
      </c>
      <c r="P38" s="24">
        <f>O38+SUM(P39:P39)</f>
        <v>3</v>
      </c>
      <c r="Q38" s="24">
        <f>P38+SUM(Q39:Q39)</f>
        <v>3</v>
      </c>
      <c r="R38" s="24">
        <f>Q38+SUM(R39:R39)</f>
        <v>3</v>
      </c>
      <c r="S38" s="22">
        <f>R38</f>
        <v>3</v>
      </c>
      <c r="T38" s="24"/>
      <c r="U38" s="24"/>
      <c r="V38" s="24"/>
      <c r="W38" s="24"/>
      <c r="X38" s="24"/>
      <c r="Y38" s="24"/>
      <c r="Z38" s="24"/>
      <c r="AA38" s="87"/>
      <c r="AB38" s="89"/>
      <c r="AC38" s="89"/>
      <c r="AD38" s="89"/>
    </row>
    <row r="39" spans="1:30" s="25" customFormat="1" ht="25" customHeight="1" x14ac:dyDescent="0.2">
      <c r="A39" s="83"/>
      <c r="B39" s="156" t="s">
        <v>57</v>
      </c>
      <c r="C39" s="157"/>
      <c r="D39" s="157"/>
      <c r="E39" s="158"/>
      <c r="F39" s="21"/>
      <c r="G39" s="24"/>
      <c r="H39" s="24"/>
      <c r="I39" s="24"/>
      <c r="J39" s="24"/>
      <c r="K39" s="75"/>
      <c r="L39" s="75"/>
      <c r="M39" s="69">
        <v>1</v>
      </c>
      <c r="N39" s="69">
        <v>1</v>
      </c>
      <c r="O39" s="69">
        <v>1</v>
      </c>
      <c r="P39" s="24"/>
      <c r="Q39" s="24"/>
      <c r="R39" s="24"/>
      <c r="S39" s="22">
        <f t="shared" ref="S39" si="30">SUM(G39:R39)</f>
        <v>3</v>
      </c>
      <c r="T39" s="24"/>
      <c r="U39" s="24"/>
      <c r="V39" s="24"/>
      <c r="W39" s="24"/>
      <c r="X39" s="24"/>
      <c r="Y39" s="24"/>
      <c r="Z39" s="24"/>
      <c r="AA39" s="87"/>
      <c r="AB39" s="89"/>
      <c r="AC39" s="89"/>
      <c r="AD39" s="89"/>
    </row>
    <row r="40" spans="1:30" s="25" customFormat="1" ht="29" customHeight="1" x14ac:dyDescent="0.4">
      <c r="A40" s="83"/>
      <c r="B40" s="85" t="s">
        <v>58</v>
      </c>
      <c r="C40" s="85"/>
      <c r="D40" s="85"/>
      <c r="E40" s="85"/>
      <c r="F40" s="21"/>
      <c r="G40" s="81">
        <f>(G41*100)/$S$41</f>
        <v>8.3333333333333339</v>
      </c>
      <c r="H40" s="81">
        <f t="shared" ref="H40:M40" si="31">(H41*100)/$S$41</f>
        <v>16.666666666666668</v>
      </c>
      <c r="I40" s="81">
        <f t="shared" si="31"/>
        <v>25</v>
      </c>
      <c r="J40" s="81">
        <f t="shared" si="31"/>
        <v>33.333333333333336</v>
      </c>
      <c r="K40" s="81">
        <f t="shared" si="31"/>
        <v>41.666666666666664</v>
      </c>
      <c r="L40" s="81">
        <f t="shared" si="31"/>
        <v>50</v>
      </c>
      <c r="M40" s="81">
        <f t="shared" si="31"/>
        <v>58.333333333333336</v>
      </c>
      <c r="N40" s="81">
        <f>(N41*100)/$S$41</f>
        <v>66.666666666666671</v>
      </c>
      <c r="O40" s="81">
        <f t="shared" ref="O40:Q40" si="32">(O41*100)/$S$41</f>
        <v>75</v>
      </c>
      <c r="P40" s="81">
        <f t="shared" si="32"/>
        <v>83.333333333333329</v>
      </c>
      <c r="Q40" s="81">
        <f t="shared" si="32"/>
        <v>91.666666666666671</v>
      </c>
      <c r="R40" s="81">
        <f>(R41*100)/$S$41</f>
        <v>100</v>
      </c>
      <c r="S40" s="24"/>
      <c r="T40" s="24"/>
      <c r="U40" s="24"/>
      <c r="V40" s="24"/>
      <c r="W40" s="24"/>
      <c r="X40" s="24"/>
      <c r="Y40" s="24"/>
      <c r="Z40" s="24"/>
      <c r="AA40" s="87"/>
      <c r="AB40" s="89"/>
      <c r="AC40" s="89"/>
      <c r="AD40" s="89"/>
    </row>
    <row r="41" spans="1:30" s="25" customFormat="1" ht="18" hidden="1" customHeight="1" x14ac:dyDescent="0.2">
      <c r="A41" s="83"/>
      <c r="B41" s="20"/>
      <c r="C41" s="20"/>
      <c r="D41" s="20"/>
      <c r="E41" s="20"/>
      <c r="F41" s="21"/>
      <c r="G41" s="77">
        <f>G42</f>
        <v>1</v>
      </c>
      <c r="H41" s="77">
        <f>G41+H42</f>
        <v>2</v>
      </c>
      <c r="I41" s="77">
        <f t="shared" ref="I41:R41" si="33">H41+I42</f>
        <v>3</v>
      </c>
      <c r="J41" s="77">
        <f t="shared" si="33"/>
        <v>4</v>
      </c>
      <c r="K41" s="77">
        <f t="shared" si="33"/>
        <v>5</v>
      </c>
      <c r="L41" s="77">
        <f t="shared" si="33"/>
        <v>6</v>
      </c>
      <c r="M41" s="77">
        <f t="shared" si="33"/>
        <v>7</v>
      </c>
      <c r="N41" s="77">
        <f t="shared" si="33"/>
        <v>8</v>
      </c>
      <c r="O41" s="77">
        <f t="shared" si="33"/>
        <v>9</v>
      </c>
      <c r="P41" s="77">
        <f t="shared" si="33"/>
        <v>10</v>
      </c>
      <c r="Q41" s="77">
        <f t="shared" si="33"/>
        <v>11</v>
      </c>
      <c r="R41" s="77">
        <f t="shared" si="33"/>
        <v>12</v>
      </c>
      <c r="S41" s="22">
        <f>R41</f>
        <v>12</v>
      </c>
      <c r="T41" s="24"/>
      <c r="U41" s="24"/>
      <c r="V41" s="24"/>
      <c r="W41" s="24"/>
      <c r="X41" s="24"/>
      <c r="Y41" s="24"/>
      <c r="Z41" s="24"/>
      <c r="AA41" s="87"/>
      <c r="AB41" s="89"/>
      <c r="AC41" s="89"/>
      <c r="AD41" s="89"/>
    </row>
    <row r="42" spans="1:30" s="25" customFormat="1" ht="25" customHeight="1" x14ac:dyDescent="0.2">
      <c r="A42" s="83"/>
      <c r="B42" s="156" t="s">
        <v>59</v>
      </c>
      <c r="C42" s="157"/>
      <c r="D42" s="157"/>
      <c r="E42" s="158"/>
      <c r="F42" s="21"/>
      <c r="G42" s="69">
        <v>1</v>
      </c>
      <c r="H42" s="69">
        <v>1</v>
      </c>
      <c r="I42" s="69">
        <v>1</v>
      </c>
      <c r="J42" s="69">
        <v>1</v>
      </c>
      <c r="K42" s="69">
        <v>1</v>
      </c>
      <c r="L42" s="69">
        <v>1</v>
      </c>
      <c r="M42" s="69">
        <v>1</v>
      </c>
      <c r="N42" s="69">
        <v>1</v>
      </c>
      <c r="O42" s="69">
        <v>1</v>
      </c>
      <c r="P42" s="69">
        <v>1</v>
      </c>
      <c r="Q42" s="69">
        <v>1</v>
      </c>
      <c r="R42" s="69">
        <v>1</v>
      </c>
      <c r="S42" s="22">
        <f t="shared" ref="S42" si="34">SUM(G42:R42)</f>
        <v>12</v>
      </c>
      <c r="T42" s="24"/>
      <c r="U42" s="24"/>
      <c r="V42" s="24"/>
      <c r="W42" s="24"/>
      <c r="X42" s="24"/>
      <c r="Y42" s="24"/>
      <c r="Z42" s="24"/>
      <c r="AA42" s="87"/>
      <c r="AB42" s="89"/>
      <c r="AC42" s="89"/>
      <c r="AD42" s="89"/>
    </row>
    <row r="43" spans="1:30" s="25" customFormat="1" ht="29" customHeight="1" x14ac:dyDescent="0.4">
      <c r="A43" s="83"/>
      <c r="B43" s="85" t="s">
        <v>60</v>
      </c>
      <c r="C43" s="85"/>
      <c r="D43" s="85"/>
      <c r="E43" s="85"/>
      <c r="F43" s="21"/>
      <c r="G43" s="81">
        <f>(G44*100)/$S$44</f>
        <v>8.3333333333333339</v>
      </c>
      <c r="H43" s="81">
        <f t="shared" ref="H43:K43" si="35">(H44*100)/$S$44</f>
        <v>16.666666666666668</v>
      </c>
      <c r="I43" s="81">
        <f t="shared" si="35"/>
        <v>25</v>
      </c>
      <c r="J43" s="81">
        <f t="shared" si="35"/>
        <v>33.333333333333336</v>
      </c>
      <c r="K43" s="81">
        <f t="shared" si="35"/>
        <v>41.666666666666664</v>
      </c>
      <c r="L43" s="81">
        <f>(L44*100)/$S$44</f>
        <v>50</v>
      </c>
      <c r="M43" s="81">
        <f t="shared" ref="M43:O43" si="36">(M44*100)/$S$44</f>
        <v>58.333333333333336</v>
      </c>
      <c r="N43" s="81">
        <f t="shared" si="36"/>
        <v>66.666666666666671</v>
      </c>
      <c r="O43" s="81">
        <f t="shared" si="36"/>
        <v>75</v>
      </c>
      <c r="P43" s="81">
        <f>(P44*100)/$S$44</f>
        <v>83.333333333333329</v>
      </c>
      <c r="Q43" s="81">
        <f t="shared" ref="Q43" si="37">(Q44*100)/$S$44</f>
        <v>91.666666666666671</v>
      </c>
      <c r="R43" s="81">
        <f>(R44*100)/$S$44</f>
        <v>100</v>
      </c>
      <c r="S43" s="24"/>
      <c r="T43" s="24"/>
      <c r="U43" s="24"/>
      <c r="V43" s="24"/>
      <c r="W43" s="24"/>
      <c r="X43" s="24"/>
      <c r="Y43" s="24"/>
      <c r="Z43" s="24"/>
      <c r="AA43" s="87"/>
      <c r="AB43" s="89"/>
      <c r="AC43" s="89"/>
      <c r="AD43" s="89"/>
    </row>
    <row r="44" spans="1:30" s="25" customFormat="1" ht="18" hidden="1" customHeight="1" x14ac:dyDescent="0.2">
      <c r="A44" s="83"/>
      <c r="B44" s="20"/>
      <c r="C44" s="20"/>
      <c r="D44" s="20"/>
      <c r="E44" s="20"/>
      <c r="F44" s="21"/>
      <c r="G44" s="77">
        <f>G45</f>
        <v>1</v>
      </c>
      <c r="H44" s="77">
        <f>G44+H45</f>
        <v>2</v>
      </c>
      <c r="I44" s="77">
        <f t="shared" ref="I44:R44" si="38">H44+I45</f>
        <v>3</v>
      </c>
      <c r="J44" s="77">
        <f t="shared" si="38"/>
        <v>4</v>
      </c>
      <c r="K44" s="77">
        <f t="shared" si="38"/>
        <v>5</v>
      </c>
      <c r="L44" s="77">
        <f t="shared" si="38"/>
        <v>6</v>
      </c>
      <c r="M44" s="77">
        <f t="shared" si="38"/>
        <v>7</v>
      </c>
      <c r="N44" s="77">
        <f t="shared" si="38"/>
        <v>8</v>
      </c>
      <c r="O44" s="77">
        <f t="shared" si="38"/>
        <v>9</v>
      </c>
      <c r="P44" s="77">
        <f t="shared" si="38"/>
        <v>10</v>
      </c>
      <c r="Q44" s="77">
        <f t="shared" si="38"/>
        <v>11</v>
      </c>
      <c r="R44" s="77">
        <f t="shared" si="38"/>
        <v>12</v>
      </c>
      <c r="S44" s="22">
        <f>R44</f>
        <v>12</v>
      </c>
      <c r="T44" s="24"/>
      <c r="U44" s="24"/>
      <c r="V44" s="24"/>
      <c r="W44" s="24"/>
      <c r="X44" s="24"/>
      <c r="Y44" s="24"/>
      <c r="Z44" s="24"/>
      <c r="AA44" s="87"/>
      <c r="AB44" s="89"/>
      <c r="AC44" s="89"/>
      <c r="AD44" s="89"/>
    </row>
    <row r="45" spans="1:30" s="25" customFormat="1" ht="25" customHeight="1" x14ac:dyDescent="0.2">
      <c r="A45" s="83"/>
      <c r="B45" s="156" t="s">
        <v>61</v>
      </c>
      <c r="C45" s="157"/>
      <c r="D45" s="157"/>
      <c r="E45" s="158"/>
      <c r="F45" s="21"/>
      <c r="G45" s="69">
        <v>1</v>
      </c>
      <c r="H45" s="69">
        <v>1</v>
      </c>
      <c r="I45" s="69">
        <v>1</v>
      </c>
      <c r="J45" s="69">
        <v>1</v>
      </c>
      <c r="K45" s="69">
        <v>1</v>
      </c>
      <c r="L45" s="69">
        <v>1</v>
      </c>
      <c r="M45" s="69">
        <v>1</v>
      </c>
      <c r="N45" s="69">
        <v>1</v>
      </c>
      <c r="O45" s="69">
        <v>1</v>
      </c>
      <c r="P45" s="69">
        <v>1</v>
      </c>
      <c r="Q45" s="69">
        <v>1</v>
      </c>
      <c r="R45" s="69">
        <v>1</v>
      </c>
      <c r="S45" s="22">
        <f t="shared" ref="S45" si="39">SUM(G45:R45)</f>
        <v>12</v>
      </c>
      <c r="T45" s="24"/>
      <c r="U45" s="24"/>
      <c r="V45" s="24"/>
      <c r="W45" s="24"/>
      <c r="X45" s="24"/>
      <c r="Y45" s="24"/>
      <c r="Z45" s="24"/>
      <c r="AA45" s="87"/>
      <c r="AB45" s="89"/>
      <c r="AC45" s="89"/>
      <c r="AD45" s="89"/>
    </row>
    <row r="46" spans="1:30" s="25" customFormat="1" x14ac:dyDescent="0.4">
      <c r="A46" s="83"/>
      <c r="B46" s="85" t="s">
        <v>62</v>
      </c>
      <c r="C46" s="85"/>
      <c r="D46" s="85"/>
      <c r="E46" s="85"/>
      <c r="F46" s="21"/>
      <c r="G46" s="81">
        <f>(G47*100)/$S$47</f>
        <v>8.3333333333333339</v>
      </c>
      <c r="H46" s="81">
        <f t="shared" ref="H46:J46" si="40">(H47*100)/$S$47</f>
        <v>16.666666666666668</v>
      </c>
      <c r="I46" s="81">
        <f t="shared" si="40"/>
        <v>25</v>
      </c>
      <c r="J46" s="81">
        <f t="shared" si="40"/>
        <v>33.333333333333336</v>
      </c>
      <c r="K46" s="81">
        <f>(K47*100)/$S$47</f>
        <v>41.666666666666664</v>
      </c>
      <c r="L46" s="81">
        <f t="shared" ref="L46:M46" si="41">(L47*100)/$S$47</f>
        <v>50</v>
      </c>
      <c r="M46" s="81">
        <f t="shared" si="41"/>
        <v>58.333333333333336</v>
      </c>
      <c r="N46" s="81">
        <f>(N47*100)/$S$47</f>
        <v>66.666666666666671</v>
      </c>
      <c r="O46" s="81">
        <f t="shared" ref="O46:P46" si="42">(O47*100)/$S$47</f>
        <v>75</v>
      </c>
      <c r="P46" s="81">
        <f t="shared" si="42"/>
        <v>83.333333333333329</v>
      </c>
      <c r="Q46" s="81">
        <f>(Q47*100)/$S$47</f>
        <v>91.666666666666671</v>
      </c>
      <c r="R46" s="81">
        <f>(R47*100)/$S$47</f>
        <v>100</v>
      </c>
      <c r="S46" s="24"/>
      <c r="T46" s="24"/>
      <c r="U46" s="24"/>
      <c r="V46" s="24"/>
      <c r="W46" s="24"/>
      <c r="X46" s="24"/>
      <c r="Y46" s="24"/>
      <c r="Z46" s="24"/>
      <c r="AA46" s="87"/>
      <c r="AB46" s="89"/>
      <c r="AC46" s="89"/>
      <c r="AD46" s="89"/>
    </row>
    <row r="47" spans="1:30" s="25" customFormat="1" ht="20" hidden="1" customHeight="1" x14ac:dyDescent="0.2">
      <c r="A47" s="83"/>
      <c r="B47" s="20"/>
      <c r="C47" s="20"/>
      <c r="D47" s="20"/>
      <c r="E47" s="20"/>
      <c r="F47" s="21"/>
      <c r="G47" s="77">
        <f>G48</f>
        <v>1</v>
      </c>
      <c r="H47" s="77">
        <f>G47+H48</f>
        <v>2</v>
      </c>
      <c r="I47" s="77">
        <f t="shared" ref="I47:L47" si="43">H47+I48</f>
        <v>3</v>
      </c>
      <c r="J47" s="77">
        <f t="shared" si="43"/>
        <v>4</v>
      </c>
      <c r="K47" s="77">
        <f t="shared" si="43"/>
        <v>5</v>
      </c>
      <c r="L47" s="77">
        <f t="shared" si="43"/>
        <v>6</v>
      </c>
      <c r="M47" s="77">
        <f>L47+M48+M49</f>
        <v>7</v>
      </c>
      <c r="N47" s="77">
        <f t="shared" ref="N47:Q47" si="44">M47+N48+N49</f>
        <v>8</v>
      </c>
      <c r="O47" s="77">
        <f t="shared" si="44"/>
        <v>9</v>
      </c>
      <c r="P47" s="77">
        <f t="shared" si="44"/>
        <v>10</v>
      </c>
      <c r="Q47" s="77">
        <f t="shared" si="44"/>
        <v>11</v>
      </c>
      <c r="R47" s="77">
        <f>Q47+R48+R49</f>
        <v>12</v>
      </c>
      <c r="S47" s="22">
        <f>R47</f>
        <v>12</v>
      </c>
      <c r="T47" s="24"/>
      <c r="U47" s="24"/>
      <c r="V47" s="24"/>
      <c r="W47" s="24"/>
      <c r="X47" s="24"/>
      <c r="Y47" s="24"/>
      <c r="Z47" s="24"/>
      <c r="AA47" s="56"/>
      <c r="AB47" s="56"/>
      <c r="AC47" s="56"/>
      <c r="AD47" s="56"/>
    </row>
    <row r="48" spans="1:30" ht="25" customHeight="1" x14ac:dyDescent="0.2">
      <c r="A48" s="83"/>
      <c r="B48" s="160" t="s">
        <v>63</v>
      </c>
      <c r="C48" s="161"/>
      <c r="D48" s="161"/>
      <c r="E48" s="162"/>
      <c r="F48" s="21"/>
      <c r="G48" s="69">
        <v>1</v>
      </c>
      <c r="H48" s="69">
        <v>1</v>
      </c>
      <c r="I48" s="69">
        <v>1</v>
      </c>
      <c r="J48" s="69">
        <v>1</v>
      </c>
      <c r="K48" s="69">
        <v>1</v>
      </c>
      <c r="L48" s="69">
        <v>1</v>
      </c>
      <c r="M48" s="73"/>
      <c r="N48" s="73"/>
      <c r="O48" s="22"/>
      <c r="P48" s="22"/>
      <c r="Q48" s="22"/>
      <c r="R48" s="22"/>
      <c r="S48" s="22">
        <f t="shared" ref="S48:S49" si="45">SUM(G48:R48)</f>
        <v>6</v>
      </c>
      <c r="T48" s="22"/>
      <c r="U48" s="22"/>
      <c r="V48" s="22"/>
      <c r="W48" s="22"/>
      <c r="X48" s="22"/>
      <c r="Y48" s="22"/>
      <c r="Z48" s="22"/>
      <c r="AA48" s="61"/>
      <c r="AB48" s="58"/>
      <c r="AC48" s="58"/>
      <c r="AD48" s="58"/>
    </row>
    <row r="49" spans="1:30" ht="25" customHeight="1" x14ac:dyDescent="0.2">
      <c r="A49" s="71"/>
      <c r="B49" s="153" t="s">
        <v>64</v>
      </c>
      <c r="C49" s="154"/>
      <c r="D49" s="154"/>
      <c r="E49" s="155"/>
      <c r="F49" s="21"/>
      <c r="G49" s="22"/>
      <c r="H49" s="22"/>
      <c r="I49" s="22"/>
      <c r="J49" s="22"/>
      <c r="K49" s="22"/>
      <c r="L49" s="22"/>
      <c r="M49" s="69">
        <v>1</v>
      </c>
      <c r="N49" s="69">
        <v>1</v>
      </c>
      <c r="O49" s="69">
        <v>1</v>
      </c>
      <c r="P49" s="69">
        <v>1</v>
      </c>
      <c r="Q49" s="69">
        <v>1</v>
      </c>
      <c r="R49" s="69">
        <v>1</v>
      </c>
      <c r="S49" s="22">
        <f t="shared" si="45"/>
        <v>6</v>
      </c>
      <c r="T49" s="22"/>
      <c r="U49" s="22"/>
      <c r="V49" s="22"/>
      <c r="W49" s="22"/>
      <c r="X49" s="22"/>
      <c r="Y49" s="22"/>
      <c r="Z49" s="22"/>
      <c r="AA49" s="60"/>
      <c r="AB49" s="61"/>
      <c r="AC49" s="59"/>
      <c r="AD49" s="59"/>
    </row>
    <row r="50" spans="1:30" ht="27" customHeight="1" x14ac:dyDescent="0.2">
      <c r="A50" s="92" t="s">
        <v>65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4"/>
      <c r="AA50" s="54"/>
      <c r="AB50" s="54"/>
      <c r="AC50" s="54"/>
      <c r="AD50" s="54"/>
    </row>
    <row r="51" spans="1:30" s="19" customFormat="1" ht="70" customHeight="1" x14ac:dyDescent="0.2">
      <c r="A51" s="12">
        <v>2.1</v>
      </c>
      <c r="B51" s="12" t="s">
        <v>66</v>
      </c>
      <c r="C51" s="12" t="s">
        <v>67</v>
      </c>
      <c r="D51" s="12" t="s">
        <v>68</v>
      </c>
      <c r="E51" s="12" t="s">
        <v>69</v>
      </c>
      <c r="F51" s="13"/>
      <c r="G51" s="50"/>
      <c r="H51" s="50"/>
      <c r="I51" s="50"/>
      <c r="J51" s="50"/>
      <c r="K51" s="51">
        <f t="shared" ref="K51:R51" si="46">(K52+K59+K65)*100/$S$51</f>
        <v>4.166666666666667</v>
      </c>
      <c r="L51" s="51">
        <f t="shared" si="46"/>
        <v>12.5</v>
      </c>
      <c r="M51" s="51">
        <f t="shared" si="46"/>
        <v>24.166666666666668</v>
      </c>
      <c r="N51" s="51">
        <f t="shared" si="46"/>
        <v>43.333333333333336</v>
      </c>
      <c r="O51" s="51">
        <f t="shared" si="46"/>
        <v>55</v>
      </c>
      <c r="P51" s="51">
        <f t="shared" si="46"/>
        <v>66.666666666666671</v>
      </c>
      <c r="Q51" s="51">
        <f t="shared" si="46"/>
        <v>81.666666666666671</v>
      </c>
      <c r="R51" s="51">
        <f t="shared" si="46"/>
        <v>100</v>
      </c>
      <c r="S51" s="14">
        <v>300</v>
      </c>
      <c r="T51" s="15" t="s">
        <v>70</v>
      </c>
      <c r="U51" s="16" t="s">
        <v>28</v>
      </c>
      <c r="V51" s="17"/>
      <c r="W51" s="17"/>
      <c r="X51" s="17"/>
      <c r="Y51" s="17"/>
      <c r="Z51" s="18"/>
      <c r="AA51" s="55"/>
      <c r="AB51" s="55"/>
      <c r="AC51" s="55"/>
      <c r="AD51" s="55"/>
    </row>
    <row r="52" spans="1:30" x14ac:dyDescent="0.2">
      <c r="A52" s="82"/>
      <c r="B52" s="85" t="s">
        <v>71</v>
      </c>
      <c r="C52" s="85"/>
      <c r="D52" s="85"/>
      <c r="E52" s="85"/>
      <c r="F52" s="21"/>
      <c r="G52" s="22"/>
      <c r="H52" s="22"/>
      <c r="I52" s="22"/>
      <c r="J52" s="22"/>
      <c r="K52" s="22"/>
      <c r="L52" s="22"/>
      <c r="M52" s="67">
        <f t="shared" ref="M52:R52" si="47">(M53*100)/$S$53</f>
        <v>10</v>
      </c>
      <c r="N52" s="67">
        <f t="shared" si="47"/>
        <v>30</v>
      </c>
      <c r="O52" s="67">
        <f t="shared" si="47"/>
        <v>40</v>
      </c>
      <c r="P52" s="67">
        <f t="shared" si="47"/>
        <v>50</v>
      </c>
      <c r="Q52" s="67">
        <f t="shared" si="47"/>
        <v>70</v>
      </c>
      <c r="R52" s="67">
        <f t="shared" si="47"/>
        <v>100</v>
      </c>
      <c r="S52" s="22"/>
      <c r="T52" s="22"/>
      <c r="U52" s="22"/>
      <c r="V52" s="22"/>
      <c r="W52" s="22"/>
      <c r="X52" s="22"/>
      <c r="Y52" s="22"/>
      <c r="Z52" s="22"/>
      <c r="AA52" s="86"/>
      <c r="AB52" s="87"/>
      <c r="AC52" s="88"/>
      <c r="AD52" s="88"/>
    </row>
    <row r="53" spans="1:30" ht="15" hidden="1" customHeight="1" x14ac:dyDescent="0.2">
      <c r="A53" s="83"/>
      <c r="B53" s="20"/>
      <c r="C53" s="20"/>
      <c r="D53" s="20"/>
      <c r="E53" s="20"/>
      <c r="F53" s="21"/>
      <c r="G53" s="22"/>
      <c r="H53" s="22"/>
      <c r="I53" s="22"/>
      <c r="J53" s="22"/>
      <c r="K53" s="22"/>
      <c r="L53" s="22"/>
      <c r="M53" s="23">
        <f>SUM(M54:M58)</f>
        <v>1</v>
      </c>
      <c r="N53" s="23">
        <f>M53+(SUM(N54:N58))</f>
        <v>3</v>
      </c>
      <c r="O53" s="22">
        <f>N53+(SUM(O54:O58))</f>
        <v>4</v>
      </c>
      <c r="P53" s="22">
        <f>O53+(SUM(P54:P58))</f>
        <v>5</v>
      </c>
      <c r="Q53" s="22">
        <f>P53+(SUM(Q54:Q58))</f>
        <v>7</v>
      </c>
      <c r="R53" s="22">
        <f>Q53+(SUM(R54:R58))</f>
        <v>10</v>
      </c>
      <c r="S53" s="22">
        <f>R53</f>
        <v>10</v>
      </c>
      <c r="T53" s="22"/>
      <c r="U53" s="22"/>
      <c r="V53" s="22"/>
      <c r="W53" s="22"/>
      <c r="X53" s="22"/>
      <c r="Y53" s="22"/>
      <c r="Z53" s="22"/>
      <c r="AA53" s="86"/>
      <c r="AB53" s="87"/>
      <c r="AC53" s="89"/>
      <c r="AD53" s="89"/>
    </row>
    <row r="54" spans="1:30" ht="25" customHeight="1" x14ac:dyDescent="0.2">
      <c r="A54" s="83"/>
      <c r="B54" s="91" t="s">
        <v>72</v>
      </c>
      <c r="C54" s="91"/>
      <c r="D54" s="91"/>
      <c r="E54" s="91"/>
      <c r="F54" s="21"/>
      <c r="G54" s="22"/>
      <c r="H54" s="22"/>
      <c r="I54" s="22"/>
      <c r="J54" s="22"/>
      <c r="K54" s="22"/>
      <c r="L54" s="22"/>
      <c r="M54" s="66">
        <v>1</v>
      </c>
      <c r="N54" s="66">
        <v>1</v>
      </c>
      <c r="O54" s="22"/>
      <c r="P54" s="22"/>
      <c r="Q54" s="22"/>
      <c r="R54" s="22"/>
      <c r="S54" s="22">
        <f>SUM(G54:R54)</f>
        <v>2</v>
      </c>
      <c r="T54" s="22"/>
      <c r="U54" s="22"/>
      <c r="V54" s="22"/>
      <c r="W54" s="22"/>
      <c r="X54" s="22"/>
      <c r="Y54" s="22"/>
      <c r="Z54" s="22"/>
      <c r="AA54" s="86"/>
      <c r="AB54" s="87"/>
      <c r="AC54" s="89"/>
      <c r="AD54" s="89"/>
    </row>
    <row r="55" spans="1:30" ht="25" customHeight="1" x14ac:dyDescent="0.2">
      <c r="A55" s="83"/>
      <c r="B55" s="153" t="s">
        <v>73</v>
      </c>
      <c r="C55" s="154"/>
      <c r="D55" s="154"/>
      <c r="E55" s="155"/>
      <c r="F55" s="21"/>
      <c r="G55" s="22"/>
      <c r="H55" s="22"/>
      <c r="I55" s="22"/>
      <c r="J55" s="22"/>
      <c r="K55" s="22"/>
      <c r="L55" s="22"/>
      <c r="M55" s="22"/>
      <c r="N55" s="66">
        <v>1</v>
      </c>
      <c r="O55" s="66">
        <v>1</v>
      </c>
      <c r="P55" s="22"/>
      <c r="Q55" s="22"/>
      <c r="R55" s="22"/>
      <c r="S55" s="22">
        <f t="shared" ref="S55:S111" si="48">SUM(G55:R55)</f>
        <v>2</v>
      </c>
      <c r="T55" s="22"/>
      <c r="U55" s="22"/>
      <c r="V55" s="22"/>
      <c r="W55" s="22"/>
      <c r="X55" s="22"/>
      <c r="Y55" s="22"/>
      <c r="Z55" s="22"/>
      <c r="AA55" s="86"/>
      <c r="AB55" s="87"/>
      <c r="AC55" s="89"/>
      <c r="AD55" s="89"/>
    </row>
    <row r="56" spans="1:30" ht="25" customHeight="1" x14ac:dyDescent="0.2">
      <c r="A56" s="83"/>
      <c r="B56" s="153" t="s">
        <v>74</v>
      </c>
      <c r="C56" s="154"/>
      <c r="D56" s="154"/>
      <c r="E56" s="155"/>
      <c r="F56" s="21"/>
      <c r="G56" s="22"/>
      <c r="H56" s="22"/>
      <c r="I56" s="22"/>
      <c r="J56" s="22"/>
      <c r="K56" s="22"/>
      <c r="L56" s="22"/>
      <c r="M56" s="22"/>
      <c r="N56" s="22"/>
      <c r="O56" s="22"/>
      <c r="P56" s="66">
        <v>1</v>
      </c>
      <c r="Q56" s="66">
        <v>1</v>
      </c>
      <c r="R56" s="66">
        <v>1</v>
      </c>
      <c r="S56" s="22">
        <f t="shared" si="48"/>
        <v>3</v>
      </c>
      <c r="T56" s="22"/>
      <c r="U56" s="22"/>
      <c r="V56" s="22"/>
      <c r="W56" s="22"/>
      <c r="X56" s="22"/>
      <c r="Y56" s="22"/>
      <c r="Z56" s="22"/>
      <c r="AA56" s="86"/>
      <c r="AB56" s="87"/>
      <c r="AC56" s="89"/>
      <c r="AD56" s="89"/>
    </row>
    <row r="57" spans="1:30" ht="25" customHeight="1" x14ac:dyDescent="0.2">
      <c r="A57" s="83"/>
      <c r="B57" s="153" t="s">
        <v>75</v>
      </c>
      <c r="C57" s="154"/>
      <c r="D57" s="154"/>
      <c r="E57" s="155"/>
      <c r="F57" s="2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66">
        <v>1</v>
      </c>
      <c r="R57" s="66">
        <v>1</v>
      </c>
      <c r="S57" s="22">
        <f t="shared" si="48"/>
        <v>2</v>
      </c>
      <c r="T57" s="22"/>
      <c r="U57" s="22"/>
      <c r="V57" s="22"/>
      <c r="W57" s="22"/>
      <c r="X57" s="22"/>
      <c r="Y57" s="22"/>
      <c r="Z57" s="22"/>
      <c r="AA57" s="86"/>
      <c r="AB57" s="87"/>
      <c r="AC57" s="89"/>
      <c r="AD57" s="89"/>
    </row>
    <row r="58" spans="1:30" ht="25" customHeight="1" x14ac:dyDescent="0.2">
      <c r="A58" s="83"/>
      <c r="B58" s="153" t="s">
        <v>76</v>
      </c>
      <c r="C58" s="154"/>
      <c r="D58" s="154"/>
      <c r="E58" s="155"/>
      <c r="F58" s="2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66">
        <v>1</v>
      </c>
      <c r="S58" s="22">
        <f t="shared" si="48"/>
        <v>1</v>
      </c>
      <c r="T58" s="22"/>
      <c r="U58" s="22"/>
      <c r="V58" s="22"/>
      <c r="W58" s="22"/>
      <c r="X58" s="22"/>
      <c r="Y58" s="22"/>
      <c r="Z58" s="22"/>
      <c r="AA58" s="86"/>
      <c r="AB58" s="159"/>
      <c r="AC58" s="133"/>
      <c r="AD58" s="133"/>
    </row>
    <row r="59" spans="1:30" s="25" customFormat="1" x14ac:dyDescent="0.4">
      <c r="A59" s="83"/>
      <c r="B59" s="85" t="s">
        <v>77</v>
      </c>
      <c r="C59" s="85"/>
      <c r="D59" s="85"/>
      <c r="E59" s="85"/>
      <c r="F59" s="21"/>
      <c r="G59" s="24"/>
      <c r="H59" s="24"/>
      <c r="I59" s="24"/>
      <c r="J59" s="24"/>
      <c r="K59" s="68">
        <f t="shared" ref="K59:R59" si="49">(K60*100)/$S$60</f>
        <v>12.5</v>
      </c>
      <c r="L59" s="68">
        <f t="shared" si="49"/>
        <v>25</v>
      </c>
      <c r="M59" s="68">
        <f t="shared" si="49"/>
        <v>37.5</v>
      </c>
      <c r="N59" s="68">
        <f t="shared" si="49"/>
        <v>50</v>
      </c>
      <c r="O59" s="68">
        <f t="shared" si="49"/>
        <v>62.5</v>
      </c>
      <c r="P59" s="68">
        <f t="shared" si="49"/>
        <v>75</v>
      </c>
      <c r="Q59" s="68">
        <f t="shared" si="49"/>
        <v>87.5</v>
      </c>
      <c r="R59" s="68">
        <f t="shared" si="49"/>
        <v>100</v>
      </c>
      <c r="S59" s="24"/>
      <c r="T59" s="24"/>
      <c r="U59" s="24"/>
      <c r="V59" s="24"/>
      <c r="W59" s="24"/>
      <c r="X59" s="24"/>
      <c r="Y59" s="24"/>
      <c r="Z59" s="24"/>
      <c r="AA59" s="87"/>
      <c r="AB59" s="88" t="s">
        <v>78</v>
      </c>
      <c r="AC59" s="88"/>
      <c r="AD59" s="88"/>
    </row>
    <row r="60" spans="1:30" s="25" customFormat="1" ht="24" hidden="1" customHeight="1" x14ac:dyDescent="0.2">
      <c r="A60" s="83"/>
      <c r="B60" s="20"/>
      <c r="C60" s="20"/>
      <c r="D60" s="20"/>
      <c r="E60" s="20"/>
      <c r="F60" s="21"/>
      <c r="G60" s="24"/>
      <c r="H60" s="24"/>
      <c r="I60" s="24"/>
      <c r="J60" s="24"/>
      <c r="K60" s="24">
        <f>SUM(K61:K64)</f>
        <v>1</v>
      </c>
      <c r="L60" s="24">
        <f>K60+(SUM(L61:L64))</f>
        <v>2</v>
      </c>
      <c r="M60" s="24">
        <f>L60+(SUM(M61:M64))</f>
        <v>3</v>
      </c>
      <c r="N60" s="24">
        <f>M60+(SUM(N61:N64))</f>
        <v>4</v>
      </c>
      <c r="O60" s="24">
        <f>N60+SUM(O61:O64)</f>
        <v>5</v>
      </c>
      <c r="P60" s="24">
        <f>O60+SUM(P61:P64)</f>
        <v>6</v>
      </c>
      <c r="Q60" s="24">
        <f>P60+SUM(Q61:Q64)</f>
        <v>7</v>
      </c>
      <c r="R60" s="24">
        <f>Q60+SUM(R61:R64)</f>
        <v>8</v>
      </c>
      <c r="S60" s="24">
        <v>8</v>
      </c>
      <c r="T60" s="24"/>
      <c r="U60" s="24"/>
      <c r="V60" s="24"/>
      <c r="W60" s="24"/>
      <c r="X60" s="24"/>
      <c r="Y60" s="24"/>
      <c r="Z60" s="24"/>
      <c r="AA60" s="87"/>
      <c r="AB60" s="89"/>
      <c r="AC60" s="89"/>
      <c r="AD60" s="89"/>
    </row>
    <row r="61" spans="1:30" s="25" customFormat="1" ht="45" customHeight="1" x14ac:dyDescent="0.2">
      <c r="A61" s="83"/>
      <c r="B61" s="156" t="s">
        <v>79</v>
      </c>
      <c r="C61" s="157"/>
      <c r="D61" s="157"/>
      <c r="E61" s="158"/>
      <c r="F61" s="21"/>
      <c r="G61" s="24"/>
      <c r="H61" s="24"/>
      <c r="I61" s="24"/>
      <c r="J61" s="24"/>
      <c r="K61" s="69">
        <v>1</v>
      </c>
      <c r="L61" s="69">
        <v>1</v>
      </c>
      <c r="M61" s="69">
        <v>1</v>
      </c>
      <c r="N61" s="69">
        <v>1</v>
      </c>
      <c r="O61" s="69">
        <v>1</v>
      </c>
      <c r="P61" s="24"/>
      <c r="Q61" s="24"/>
      <c r="R61" s="24"/>
      <c r="S61" s="22">
        <f t="shared" si="48"/>
        <v>5</v>
      </c>
      <c r="T61" s="24"/>
      <c r="U61" s="24"/>
      <c r="V61" s="24"/>
      <c r="W61" s="24"/>
      <c r="X61" s="24"/>
      <c r="Y61" s="24"/>
      <c r="Z61" s="24"/>
      <c r="AA61" s="87"/>
      <c r="AB61" s="89"/>
      <c r="AC61" s="89"/>
      <c r="AD61" s="89"/>
    </row>
    <row r="62" spans="1:30" s="25" customFormat="1" x14ac:dyDescent="0.2">
      <c r="A62" s="83"/>
      <c r="B62" s="153" t="s">
        <v>74</v>
      </c>
      <c r="C62" s="154"/>
      <c r="D62" s="154"/>
      <c r="E62" s="155"/>
      <c r="F62" s="21"/>
      <c r="G62" s="24"/>
      <c r="H62" s="24"/>
      <c r="I62" s="24"/>
      <c r="J62" s="24"/>
      <c r="K62" s="24"/>
      <c r="L62" s="24"/>
      <c r="M62" s="24"/>
      <c r="N62" s="24"/>
      <c r="O62" s="24"/>
      <c r="P62" s="69">
        <v>1</v>
      </c>
      <c r="Q62" s="24"/>
      <c r="R62" s="24"/>
      <c r="S62" s="22">
        <f t="shared" si="48"/>
        <v>1</v>
      </c>
      <c r="T62" s="24"/>
      <c r="U62" s="24"/>
      <c r="V62" s="24"/>
      <c r="W62" s="24"/>
      <c r="X62" s="24"/>
      <c r="Y62" s="24"/>
      <c r="Z62" s="24"/>
      <c r="AA62" s="87"/>
      <c r="AB62" s="89"/>
      <c r="AC62" s="89"/>
      <c r="AD62" s="89"/>
    </row>
    <row r="63" spans="1:30" s="25" customFormat="1" x14ac:dyDescent="0.2">
      <c r="A63" s="83"/>
      <c r="B63" s="153" t="s">
        <v>75</v>
      </c>
      <c r="C63" s="154"/>
      <c r="D63" s="154"/>
      <c r="E63" s="155"/>
      <c r="F63" s="21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69">
        <v>1</v>
      </c>
      <c r="R63" s="24"/>
      <c r="S63" s="22">
        <f t="shared" si="48"/>
        <v>1</v>
      </c>
      <c r="T63" s="24"/>
      <c r="U63" s="24"/>
      <c r="V63" s="24"/>
      <c r="W63" s="24"/>
      <c r="X63" s="24"/>
      <c r="Y63" s="24"/>
      <c r="Z63" s="24"/>
      <c r="AA63" s="87"/>
      <c r="AB63" s="89"/>
      <c r="AC63" s="89"/>
      <c r="AD63" s="89"/>
    </row>
    <row r="64" spans="1:30" s="25" customFormat="1" x14ac:dyDescent="0.2">
      <c r="A64" s="83"/>
      <c r="B64" s="153" t="s">
        <v>80</v>
      </c>
      <c r="C64" s="154"/>
      <c r="D64" s="154"/>
      <c r="E64" s="155"/>
      <c r="F64" s="21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69">
        <v>1</v>
      </c>
      <c r="S64" s="22">
        <f t="shared" si="48"/>
        <v>1</v>
      </c>
      <c r="T64" s="24"/>
      <c r="U64" s="24"/>
      <c r="V64" s="24"/>
      <c r="W64" s="24"/>
      <c r="X64" s="24"/>
      <c r="Y64" s="24"/>
      <c r="Z64" s="24"/>
      <c r="AA64" s="87"/>
      <c r="AB64" s="89"/>
      <c r="AC64" s="89"/>
      <c r="AD64" s="89"/>
    </row>
    <row r="65" spans="1:30" s="25" customFormat="1" x14ac:dyDescent="0.4">
      <c r="A65" s="83"/>
      <c r="B65" s="85" t="s">
        <v>81</v>
      </c>
      <c r="C65" s="85"/>
      <c r="D65" s="85"/>
      <c r="E65" s="85"/>
      <c r="F65" s="21"/>
      <c r="G65" s="24"/>
      <c r="H65" s="24"/>
      <c r="I65" s="24"/>
      <c r="J65" s="24"/>
      <c r="K65" s="24"/>
      <c r="L65" s="68">
        <f t="shared" ref="L65:R65" si="50">(L66*100)/$S$66</f>
        <v>12.5</v>
      </c>
      <c r="M65" s="68">
        <f t="shared" si="50"/>
        <v>25</v>
      </c>
      <c r="N65" s="68">
        <f t="shared" si="50"/>
        <v>50</v>
      </c>
      <c r="O65" s="68">
        <f t="shared" si="50"/>
        <v>62.5</v>
      </c>
      <c r="P65" s="68">
        <f t="shared" si="50"/>
        <v>75</v>
      </c>
      <c r="Q65" s="68">
        <f t="shared" si="50"/>
        <v>87.5</v>
      </c>
      <c r="R65" s="68">
        <f t="shared" si="50"/>
        <v>100</v>
      </c>
      <c r="S65" s="24"/>
      <c r="T65" s="24"/>
      <c r="U65" s="24"/>
      <c r="V65" s="24"/>
      <c r="W65" s="24"/>
      <c r="X65" s="24"/>
      <c r="Y65" s="24"/>
      <c r="Z65" s="24"/>
      <c r="AA65" s="87"/>
      <c r="AB65" s="89"/>
      <c r="AC65" s="89"/>
      <c r="AD65" s="89"/>
    </row>
    <row r="66" spans="1:30" s="25" customFormat="1" ht="25" hidden="1" customHeight="1" x14ac:dyDescent="0.2">
      <c r="A66" s="83"/>
      <c r="B66" s="20"/>
      <c r="C66" s="20"/>
      <c r="D66" s="20"/>
      <c r="E66" s="20"/>
      <c r="F66" s="21"/>
      <c r="G66" s="24"/>
      <c r="H66" s="24"/>
      <c r="I66" s="24"/>
      <c r="J66" s="24"/>
      <c r="K66" s="24"/>
      <c r="L66" s="24">
        <f>(SUM(L67:L71))</f>
        <v>1</v>
      </c>
      <c r="M66" s="24">
        <f>L66+(SUM(M67:M71))</f>
        <v>2</v>
      </c>
      <c r="N66" s="24">
        <f>M66+(SUM(N67:N71))</f>
        <v>4</v>
      </c>
      <c r="O66" s="24">
        <f>N66+SUM(O67:O71)</f>
        <v>5</v>
      </c>
      <c r="P66" s="24">
        <f>O66+SUM(P67:P71)</f>
        <v>6</v>
      </c>
      <c r="Q66" s="24">
        <f>P66+SUM(Q67:Q71)</f>
        <v>7</v>
      </c>
      <c r="R66" s="24">
        <f>Q66+SUM(R67:R71)</f>
        <v>8</v>
      </c>
      <c r="S66" s="24">
        <v>8</v>
      </c>
      <c r="T66" s="24"/>
      <c r="U66" s="24"/>
      <c r="V66" s="24"/>
      <c r="W66" s="24"/>
      <c r="X66" s="24"/>
      <c r="Y66" s="24"/>
      <c r="Z66" s="24"/>
      <c r="AA66" s="56"/>
      <c r="AB66" s="56"/>
      <c r="AC66" s="56"/>
      <c r="AD66" s="56"/>
    </row>
    <row r="67" spans="1:30" ht="25" customHeight="1" x14ac:dyDescent="0.2">
      <c r="A67" s="83"/>
      <c r="B67" s="160" t="s">
        <v>82</v>
      </c>
      <c r="C67" s="161"/>
      <c r="D67" s="161"/>
      <c r="E67" s="162"/>
      <c r="F67" s="21"/>
      <c r="G67" s="22"/>
      <c r="H67" s="22"/>
      <c r="I67" s="22"/>
      <c r="J67" s="22"/>
      <c r="K67" s="22"/>
      <c r="L67" s="66">
        <v>1</v>
      </c>
      <c r="M67" s="66">
        <v>1</v>
      </c>
      <c r="N67" s="66">
        <v>1</v>
      </c>
      <c r="O67" s="22"/>
      <c r="P67" s="22"/>
      <c r="Q67" s="22"/>
      <c r="R67" s="22"/>
      <c r="S67" s="22">
        <f t="shared" si="48"/>
        <v>3</v>
      </c>
      <c r="T67" s="22"/>
      <c r="U67" s="22"/>
      <c r="V67" s="22"/>
      <c r="W67" s="22"/>
      <c r="X67" s="22"/>
      <c r="Y67" s="22"/>
      <c r="Z67" s="22"/>
      <c r="AA67" s="87"/>
      <c r="AB67" s="88" t="s">
        <v>83</v>
      </c>
      <c r="AC67" s="88"/>
      <c r="AD67" s="88"/>
    </row>
    <row r="68" spans="1:30" s="25" customFormat="1" ht="25" customHeight="1" x14ac:dyDescent="0.2">
      <c r="A68" s="83"/>
      <c r="B68" s="150" t="s">
        <v>84</v>
      </c>
      <c r="C68" s="151"/>
      <c r="D68" s="151"/>
      <c r="E68" s="152"/>
      <c r="F68" s="21"/>
      <c r="G68" s="24"/>
      <c r="H68" s="24"/>
      <c r="I68" s="24"/>
      <c r="J68" s="24"/>
      <c r="K68" s="24"/>
      <c r="L68" s="24"/>
      <c r="M68" s="24"/>
      <c r="N68" s="69">
        <v>1</v>
      </c>
      <c r="O68" s="69">
        <v>1</v>
      </c>
      <c r="P68" s="24"/>
      <c r="Q68" s="24"/>
      <c r="R68" s="24"/>
      <c r="S68" s="22">
        <f t="shared" si="48"/>
        <v>2</v>
      </c>
      <c r="T68" s="24"/>
      <c r="U68" s="24"/>
      <c r="V68" s="24"/>
      <c r="W68" s="24"/>
      <c r="X68" s="24"/>
      <c r="Y68" s="24"/>
      <c r="Z68" s="24"/>
      <c r="AA68" s="87"/>
      <c r="AB68" s="89"/>
      <c r="AC68" s="89"/>
      <c r="AD68" s="89"/>
    </row>
    <row r="69" spans="1:30" s="25" customFormat="1" ht="25" customHeight="1" x14ac:dyDescent="0.2">
      <c r="A69" s="83"/>
      <c r="B69" s="153" t="s">
        <v>74</v>
      </c>
      <c r="C69" s="154"/>
      <c r="D69" s="154"/>
      <c r="E69" s="155"/>
      <c r="F69" s="21"/>
      <c r="G69" s="24"/>
      <c r="H69" s="24"/>
      <c r="I69" s="24"/>
      <c r="J69" s="24"/>
      <c r="K69" s="24"/>
      <c r="L69" s="24"/>
      <c r="M69" s="24"/>
      <c r="N69" s="24"/>
      <c r="O69" s="24"/>
      <c r="P69" s="69">
        <v>1</v>
      </c>
      <c r="Q69" s="24"/>
      <c r="R69" s="24"/>
      <c r="S69" s="22">
        <f t="shared" si="48"/>
        <v>1</v>
      </c>
      <c r="T69" s="24"/>
      <c r="U69" s="24"/>
      <c r="V69" s="24"/>
      <c r="W69" s="24"/>
      <c r="X69" s="24"/>
      <c r="Y69" s="24"/>
      <c r="Z69" s="24"/>
      <c r="AA69" s="87"/>
      <c r="AB69" s="89"/>
      <c r="AC69" s="89"/>
      <c r="AD69" s="89"/>
    </row>
    <row r="70" spans="1:30" s="25" customFormat="1" ht="25" customHeight="1" x14ac:dyDescent="0.2">
      <c r="A70" s="83"/>
      <c r="B70" s="153" t="s">
        <v>75</v>
      </c>
      <c r="C70" s="154"/>
      <c r="D70" s="154"/>
      <c r="E70" s="155"/>
      <c r="F70" s="21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69">
        <v>1</v>
      </c>
      <c r="R70" s="24"/>
      <c r="S70" s="22">
        <f t="shared" si="48"/>
        <v>1</v>
      </c>
      <c r="T70" s="24"/>
      <c r="U70" s="24"/>
      <c r="V70" s="24"/>
      <c r="W70" s="24"/>
      <c r="X70" s="24"/>
      <c r="Y70" s="24"/>
      <c r="Z70" s="24"/>
      <c r="AA70" s="87"/>
      <c r="AB70" s="89"/>
      <c r="AC70" s="89"/>
      <c r="AD70" s="89"/>
    </row>
    <row r="71" spans="1:30" s="25" customFormat="1" ht="25" customHeight="1" x14ac:dyDescent="0.2">
      <c r="A71" s="84"/>
      <c r="B71" s="153" t="s">
        <v>80</v>
      </c>
      <c r="C71" s="154"/>
      <c r="D71" s="154"/>
      <c r="E71" s="155"/>
      <c r="F71" s="21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69">
        <v>1</v>
      </c>
      <c r="S71" s="22">
        <f t="shared" si="48"/>
        <v>1</v>
      </c>
      <c r="T71" s="24"/>
      <c r="U71" s="24"/>
      <c r="V71" s="24"/>
      <c r="W71" s="24"/>
      <c r="X71" s="24"/>
      <c r="Y71" s="24"/>
      <c r="Z71" s="24"/>
      <c r="AA71" s="87"/>
      <c r="AB71" s="89"/>
      <c r="AC71" s="89"/>
      <c r="AD71" s="89"/>
    </row>
    <row r="72" spans="1:30" s="31" customFormat="1" ht="183" customHeight="1" x14ac:dyDescent="0.2">
      <c r="A72" s="12">
        <v>2.2000000000000002</v>
      </c>
      <c r="B72" s="26" t="s">
        <v>85</v>
      </c>
      <c r="C72" s="26" t="s">
        <v>86</v>
      </c>
      <c r="D72" s="26" t="s">
        <v>87</v>
      </c>
      <c r="E72" s="64" t="s">
        <v>88</v>
      </c>
      <c r="F72" s="27"/>
      <c r="G72" s="28">
        <f t="shared" ref="G72:R72" si="51">(G73+G78+G86+G92+G98+G104)*100/$S$72</f>
        <v>8.3343807608513494</v>
      </c>
      <c r="H72" s="28">
        <f t="shared" si="51"/>
        <v>20.603946706887886</v>
      </c>
      <c r="I72" s="28">
        <f t="shared" si="51"/>
        <v>29.918719624601977</v>
      </c>
      <c r="J72" s="28">
        <f t="shared" si="51"/>
        <v>41.957851516675049</v>
      </c>
      <c r="K72" s="28">
        <f t="shared" si="51"/>
        <v>52.090665325959449</v>
      </c>
      <c r="L72" s="28">
        <f t="shared" si="51"/>
        <v>58.056812468577178</v>
      </c>
      <c r="M72" s="28">
        <f t="shared" si="51"/>
        <v>63.626134214369507</v>
      </c>
      <c r="N72" s="28">
        <f t="shared" si="51"/>
        <v>69.195455960161837</v>
      </c>
      <c r="O72" s="28">
        <f t="shared" si="51"/>
        <v>77.786755727932203</v>
      </c>
      <c r="P72" s="28">
        <f t="shared" si="51"/>
        <v>85.618520912638573</v>
      </c>
      <c r="Q72" s="28">
        <f t="shared" si="51"/>
        <v>92.809260456319279</v>
      </c>
      <c r="R72" s="28">
        <f t="shared" si="51"/>
        <v>100</v>
      </c>
      <c r="S72" s="26">
        <v>600</v>
      </c>
      <c r="T72" s="26" t="s">
        <v>89</v>
      </c>
      <c r="U72" s="29">
        <v>2.95</v>
      </c>
      <c r="V72" s="30"/>
      <c r="W72" s="30"/>
      <c r="X72" s="30"/>
      <c r="Y72" s="30"/>
      <c r="Z72" s="30"/>
      <c r="AA72" s="57"/>
      <c r="AB72" s="57"/>
      <c r="AC72" s="57"/>
      <c r="AD72" s="57"/>
    </row>
    <row r="73" spans="1:30" s="25" customFormat="1" x14ac:dyDescent="0.4">
      <c r="A73" s="82"/>
      <c r="B73" s="137" t="s">
        <v>90</v>
      </c>
      <c r="C73" s="137"/>
      <c r="D73" s="137"/>
      <c r="E73" s="137"/>
      <c r="F73" s="33"/>
      <c r="G73" s="68">
        <f t="shared" ref="G73:L73" si="52">(G74*100)/$S$74</f>
        <v>16.666666666666668</v>
      </c>
      <c r="H73" s="68">
        <f t="shared" si="52"/>
        <v>33.333333333333336</v>
      </c>
      <c r="I73" s="68">
        <f t="shared" si="52"/>
        <v>50</v>
      </c>
      <c r="J73" s="68">
        <f t="shared" si="52"/>
        <v>66.666666666666671</v>
      </c>
      <c r="K73" s="68">
        <f t="shared" si="52"/>
        <v>83.333333333333329</v>
      </c>
      <c r="L73" s="68">
        <f t="shared" si="52"/>
        <v>100</v>
      </c>
      <c r="M73" s="35">
        <v>100</v>
      </c>
      <c r="N73" s="35">
        <v>100</v>
      </c>
      <c r="O73" s="35">
        <v>100</v>
      </c>
      <c r="P73" s="35">
        <v>100</v>
      </c>
      <c r="Q73" s="35">
        <v>100</v>
      </c>
      <c r="R73" s="35">
        <v>100</v>
      </c>
      <c r="S73" s="22"/>
      <c r="T73" s="24"/>
      <c r="U73" s="24"/>
      <c r="V73" s="24"/>
      <c r="W73" s="24"/>
      <c r="X73" s="24"/>
      <c r="Y73" s="24"/>
      <c r="Z73" s="24"/>
      <c r="AA73" s="88"/>
      <c r="AB73" s="88"/>
      <c r="AC73" s="86"/>
      <c r="AD73" s="138"/>
    </row>
    <row r="74" spans="1:30" s="25" customFormat="1" ht="32.25" hidden="1" customHeight="1" x14ac:dyDescent="0.2">
      <c r="A74" s="83"/>
      <c r="B74" s="32"/>
      <c r="C74" s="32"/>
      <c r="D74" s="32"/>
      <c r="E74" s="32"/>
      <c r="F74" s="33"/>
      <c r="G74" s="24">
        <f>SUM(G75:G77)</f>
        <v>2</v>
      </c>
      <c r="H74" s="24">
        <f>G74+SUM(H75:H77)</f>
        <v>4</v>
      </c>
      <c r="I74" s="24">
        <f>H74+SUM(I75:I77)</f>
        <v>6</v>
      </c>
      <c r="J74" s="24">
        <f>I74+SUM(J75:J77)</f>
        <v>8</v>
      </c>
      <c r="K74" s="24">
        <f>J74+SUM(K75:K77)</f>
        <v>10</v>
      </c>
      <c r="L74" s="24">
        <f>K74+SUM(L75:L77)</f>
        <v>12</v>
      </c>
      <c r="M74" s="24"/>
      <c r="N74" s="24"/>
      <c r="O74" s="24"/>
      <c r="P74" s="24"/>
      <c r="Q74" s="24"/>
      <c r="R74" s="24"/>
      <c r="S74" s="22">
        <v>12</v>
      </c>
      <c r="T74" s="24"/>
      <c r="U74" s="24"/>
      <c r="V74" s="24"/>
      <c r="W74" s="24"/>
      <c r="X74" s="24"/>
      <c r="Y74" s="24"/>
      <c r="Z74" s="24"/>
      <c r="AA74" s="89"/>
      <c r="AB74" s="89"/>
      <c r="AC74" s="86"/>
      <c r="AD74" s="139"/>
    </row>
    <row r="75" spans="1:30" s="25" customFormat="1" ht="45" customHeight="1" x14ac:dyDescent="0.2">
      <c r="A75" s="83"/>
      <c r="B75" s="140" t="s">
        <v>91</v>
      </c>
      <c r="C75" s="141"/>
      <c r="D75" s="141"/>
      <c r="E75" s="142"/>
      <c r="F75" s="33"/>
      <c r="G75" s="69">
        <v>1</v>
      </c>
      <c r="H75" s="69">
        <v>1</v>
      </c>
      <c r="I75" s="69">
        <v>1</v>
      </c>
      <c r="J75" s="69">
        <v>1</v>
      </c>
      <c r="K75" s="69">
        <v>1</v>
      </c>
      <c r="L75" s="69">
        <v>1</v>
      </c>
      <c r="M75" s="24"/>
      <c r="N75" s="24"/>
      <c r="O75" s="24"/>
      <c r="P75" s="24"/>
      <c r="Q75" s="24"/>
      <c r="R75" s="24"/>
      <c r="S75" s="22">
        <f t="shared" si="48"/>
        <v>6</v>
      </c>
      <c r="T75" s="24"/>
      <c r="U75" s="24"/>
      <c r="V75" s="24"/>
      <c r="W75" s="24"/>
      <c r="X75" s="24"/>
      <c r="Y75" s="24"/>
      <c r="Z75" s="24"/>
      <c r="AA75" s="89"/>
      <c r="AB75" s="89"/>
      <c r="AC75" s="86"/>
      <c r="AD75" s="139"/>
    </row>
    <row r="76" spans="1:30" s="25" customFormat="1" x14ac:dyDescent="0.2">
      <c r="A76" s="83"/>
      <c r="B76" s="140" t="s">
        <v>92</v>
      </c>
      <c r="C76" s="141"/>
      <c r="D76" s="141"/>
      <c r="E76" s="142"/>
      <c r="F76" s="33"/>
      <c r="G76" s="69">
        <v>1</v>
      </c>
      <c r="H76" s="69">
        <v>1</v>
      </c>
      <c r="I76" s="69">
        <v>1</v>
      </c>
      <c r="J76" s="24"/>
      <c r="K76" s="24"/>
      <c r="L76" s="24"/>
      <c r="M76" s="24"/>
      <c r="N76" s="24"/>
      <c r="O76" s="24"/>
      <c r="P76" s="24"/>
      <c r="Q76" s="24"/>
      <c r="R76" s="24"/>
      <c r="S76" s="22">
        <f t="shared" si="48"/>
        <v>3</v>
      </c>
      <c r="T76" s="24"/>
      <c r="U76" s="24"/>
      <c r="V76" s="24"/>
      <c r="W76" s="24"/>
      <c r="X76" s="24"/>
      <c r="Y76" s="24"/>
      <c r="Z76" s="24"/>
      <c r="AA76" s="89"/>
      <c r="AB76" s="89"/>
      <c r="AC76" s="86"/>
      <c r="AD76" s="139"/>
    </row>
    <row r="77" spans="1:30" s="25" customFormat="1" x14ac:dyDescent="0.2">
      <c r="A77" s="83"/>
      <c r="B77" s="140" t="s">
        <v>93</v>
      </c>
      <c r="C77" s="141"/>
      <c r="D77" s="141"/>
      <c r="E77" s="142"/>
      <c r="F77" s="33"/>
      <c r="G77" s="24"/>
      <c r="H77" s="24"/>
      <c r="I77" s="24"/>
      <c r="J77" s="69">
        <v>1</v>
      </c>
      <c r="K77" s="69">
        <v>1</v>
      </c>
      <c r="L77" s="69">
        <v>1</v>
      </c>
      <c r="M77" s="24"/>
      <c r="N77" s="24"/>
      <c r="O77" s="24"/>
      <c r="P77" s="24"/>
      <c r="Q77" s="24"/>
      <c r="R77" s="24"/>
      <c r="S77" s="22">
        <f t="shared" si="48"/>
        <v>3</v>
      </c>
      <c r="T77" s="24"/>
      <c r="U77" s="24"/>
      <c r="V77" s="24"/>
      <c r="W77" s="24"/>
      <c r="X77" s="24"/>
      <c r="Y77" s="24"/>
      <c r="Z77" s="24"/>
      <c r="AA77" s="133"/>
      <c r="AB77" s="133"/>
      <c r="AC77" s="86"/>
      <c r="AD77" s="139"/>
    </row>
    <row r="78" spans="1:30" s="25" customFormat="1" x14ac:dyDescent="0.4">
      <c r="A78" s="83"/>
      <c r="B78" s="85" t="s">
        <v>94</v>
      </c>
      <c r="C78" s="85"/>
      <c r="D78" s="85"/>
      <c r="E78" s="85"/>
      <c r="F78" s="24"/>
      <c r="G78" s="68">
        <f t="shared" ref="G78:R78" si="53">(G79*100)/$S$79</f>
        <v>3.8461538461538463</v>
      </c>
      <c r="H78" s="68">
        <f t="shared" si="53"/>
        <v>7.6923076923076925</v>
      </c>
      <c r="I78" s="68">
        <f t="shared" si="53"/>
        <v>11.538461538461538</v>
      </c>
      <c r="J78" s="68">
        <f t="shared" si="53"/>
        <v>19.23076923076923</v>
      </c>
      <c r="K78" s="68">
        <f t="shared" si="53"/>
        <v>26.923076923076923</v>
      </c>
      <c r="L78" s="68">
        <f t="shared" si="53"/>
        <v>34.615384615384613</v>
      </c>
      <c r="M78" s="68">
        <f t="shared" si="53"/>
        <v>42.307692307692307</v>
      </c>
      <c r="N78" s="68">
        <f t="shared" si="53"/>
        <v>50</v>
      </c>
      <c r="O78" s="68">
        <f t="shared" si="53"/>
        <v>61.53846153846154</v>
      </c>
      <c r="P78" s="68">
        <f t="shared" si="53"/>
        <v>76.92307692307692</v>
      </c>
      <c r="Q78" s="68">
        <f t="shared" si="53"/>
        <v>88.461538461538467</v>
      </c>
      <c r="R78" s="68">
        <f t="shared" si="53"/>
        <v>100</v>
      </c>
      <c r="S78" s="22"/>
      <c r="T78" s="24"/>
      <c r="U78" s="24"/>
      <c r="V78" s="24"/>
      <c r="W78" s="24"/>
      <c r="X78" s="24"/>
      <c r="Y78" s="24"/>
      <c r="Z78" s="24"/>
      <c r="AA78" s="88"/>
      <c r="AB78" s="88" t="s">
        <v>95</v>
      </c>
      <c r="AC78" s="88"/>
      <c r="AD78" s="88"/>
    </row>
    <row r="79" spans="1:30" s="25" customFormat="1" ht="23.25" hidden="1" customHeight="1" x14ac:dyDescent="0.2">
      <c r="A79" s="83"/>
      <c r="B79" s="20"/>
      <c r="C79" s="20"/>
      <c r="D79" s="20"/>
      <c r="E79" s="20"/>
      <c r="F79" s="24"/>
      <c r="G79" s="24">
        <f>SUM(G80:G85)</f>
        <v>1</v>
      </c>
      <c r="H79" s="24">
        <f t="shared" ref="H79:R79" si="54">G79+SUM(H80:H85)</f>
        <v>2</v>
      </c>
      <c r="I79" s="24">
        <f t="shared" si="54"/>
        <v>3</v>
      </c>
      <c r="J79" s="24">
        <f t="shared" si="54"/>
        <v>5</v>
      </c>
      <c r="K79" s="24">
        <f t="shared" si="54"/>
        <v>7</v>
      </c>
      <c r="L79" s="24">
        <f t="shared" si="54"/>
        <v>9</v>
      </c>
      <c r="M79" s="24">
        <f t="shared" si="54"/>
        <v>11</v>
      </c>
      <c r="N79" s="24">
        <f t="shared" si="54"/>
        <v>13</v>
      </c>
      <c r="O79" s="24">
        <f t="shared" si="54"/>
        <v>16</v>
      </c>
      <c r="P79" s="24">
        <f t="shared" si="54"/>
        <v>20</v>
      </c>
      <c r="Q79" s="24">
        <f t="shared" si="54"/>
        <v>23</v>
      </c>
      <c r="R79" s="24">
        <f t="shared" si="54"/>
        <v>26</v>
      </c>
      <c r="S79" s="22">
        <v>26</v>
      </c>
      <c r="T79" s="24"/>
      <c r="U79" s="24"/>
      <c r="V79" s="24"/>
      <c r="W79" s="24"/>
      <c r="X79" s="24"/>
      <c r="Y79" s="24"/>
      <c r="Z79" s="24"/>
      <c r="AA79" s="89"/>
      <c r="AB79" s="89"/>
      <c r="AC79" s="89"/>
      <c r="AD79" s="89"/>
    </row>
    <row r="80" spans="1:30" s="25" customFormat="1" ht="27" customHeight="1" x14ac:dyDescent="0.2">
      <c r="A80" s="83"/>
      <c r="B80" s="116" t="s">
        <v>96</v>
      </c>
      <c r="C80" s="117"/>
      <c r="D80" s="117"/>
      <c r="E80" s="118"/>
      <c r="F80" s="24"/>
      <c r="G80" s="69">
        <v>1</v>
      </c>
      <c r="H80" s="69">
        <v>1</v>
      </c>
      <c r="I80" s="69">
        <v>1</v>
      </c>
      <c r="J80" s="69">
        <v>1</v>
      </c>
      <c r="K80" s="69">
        <v>1</v>
      </c>
      <c r="L80" s="69">
        <v>1</v>
      </c>
      <c r="M80" s="69">
        <v>1</v>
      </c>
      <c r="N80" s="69">
        <v>1</v>
      </c>
      <c r="O80" s="69">
        <v>1</v>
      </c>
      <c r="P80" s="69">
        <v>1</v>
      </c>
      <c r="Q80" s="69">
        <v>1</v>
      </c>
      <c r="R80" s="69">
        <v>1</v>
      </c>
      <c r="S80" s="22">
        <f t="shared" si="48"/>
        <v>12</v>
      </c>
      <c r="T80" s="24"/>
      <c r="U80" s="24"/>
      <c r="V80" s="24"/>
      <c r="W80" s="24"/>
      <c r="X80" s="24"/>
      <c r="Y80" s="24"/>
      <c r="Z80" s="24"/>
      <c r="AA80" s="89"/>
      <c r="AB80" s="89"/>
      <c r="AC80" s="89"/>
      <c r="AD80" s="89"/>
    </row>
    <row r="81" spans="1:30" s="25" customFormat="1" ht="29.25" customHeight="1" x14ac:dyDescent="0.2">
      <c r="A81" s="83"/>
      <c r="B81" s="113" t="s">
        <v>97</v>
      </c>
      <c r="C81" s="114"/>
      <c r="D81" s="114"/>
      <c r="E81" s="115"/>
      <c r="F81" s="24"/>
      <c r="G81" s="24"/>
      <c r="H81" s="24"/>
      <c r="I81" s="24"/>
      <c r="J81" s="24"/>
      <c r="K81" s="24"/>
      <c r="L81" s="24"/>
      <c r="M81" s="24"/>
      <c r="N81" s="24"/>
      <c r="O81" s="69">
        <v>1</v>
      </c>
      <c r="P81" s="69">
        <v>1</v>
      </c>
      <c r="Q81" s="24"/>
      <c r="R81" s="24"/>
      <c r="S81" s="22">
        <f t="shared" si="48"/>
        <v>2</v>
      </c>
      <c r="T81" s="24"/>
      <c r="U81" s="24"/>
      <c r="V81" s="24"/>
      <c r="W81" s="24"/>
      <c r="X81" s="24"/>
      <c r="Y81" s="24"/>
      <c r="Z81" s="24"/>
      <c r="AA81" s="89"/>
      <c r="AB81" s="89"/>
      <c r="AC81" s="89"/>
      <c r="AD81" s="89"/>
    </row>
    <row r="82" spans="1:30" s="25" customFormat="1" x14ac:dyDescent="0.2">
      <c r="A82" s="83"/>
      <c r="B82" s="116" t="s">
        <v>98</v>
      </c>
      <c r="C82" s="117"/>
      <c r="D82" s="117"/>
      <c r="E82" s="118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69">
        <v>1</v>
      </c>
      <c r="Q82" s="24"/>
      <c r="R82" s="24"/>
      <c r="S82" s="22">
        <f t="shared" si="48"/>
        <v>1</v>
      </c>
      <c r="T82" s="24"/>
      <c r="U82" s="24"/>
      <c r="V82" s="24"/>
      <c r="W82" s="24"/>
      <c r="X82" s="24"/>
      <c r="Y82" s="24"/>
      <c r="Z82" s="24"/>
      <c r="AA82" s="89"/>
      <c r="AB82" s="89"/>
      <c r="AC82" s="89"/>
      <c r="AD82" s="89"/>
    </row>
    <row r="83" spans="1:30" s="25" customFormat="1" x14ac:dyDescent="0.2">
      <c r="A83" s="83"/>
      <c r="B83" s="113" t="s">
        <v>99</v>
      </c>
      <c r="C83" s="114"/>
      <c r="D83" s="114"/>
      <c r="E83" s="115"/>
      <c r="F83" s="24"/>
      <c r="G83" s="24"/>
      <c r="H83" s="24"/>
      <c r="I83" s="24"/>
      <c r="J83" s="69">
        <v>1</v>
      </c>
      <c r="K83" s="69">
        <v>1</v>
      </c>
      <c r="L83" s="69">
        <v>1</v>
      </c>
      <c r="M83" s="69">
        <v>1</v>
      </c>
      <c r="N83" s="69">
        <v>1</v>
      </c>
      <c r="O83" s="69">
        <v>1</v>
      </c>
      <c r="P83" s="69">
        <v>1</v>
      </c>
      <c r="Q83" s="24"/>
      <c r="R83" s="24"/>
      <c r="S83" s="22">
        <f t="shared" si="48"/>
        <v>7</v>
      </c>
      <c r="T83" s="24"/>
      <c r="U83" s="24"/>
      <c r="V83" s="24"/>
      <c r="W83" s="24"/>
      <c r="X83" s="24"/>
      <c r="Y83" s="24"/>
      <c r="Z83" s="24"/>
      <c r="AA83" s="89"/>
      <c r="AB83" s="89"/>
      <c r="AC83" s="89"/>
      <c r="AD83" s="89"/>
    </row>
    <row r="84" spans="1:30" s="25" customFormat="1" x14ac:dyDescent="0.2">
      <c r="A84" s="83"/>
      <c r="B84" s="113" t="s">
        <v>100</v>
      </c>
      <c r="C84" s="114"/>
      <c r="D84" s="114"/>
      <c r="E84" s="115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69">
        <v>1</v>
      </c>
      <c r="R84" s="69">
        <v>1</v>
      </c>
      <c r="S84" s="22">
        <f t="shared" si="48"/>
        <v>2</v>
      </c>
      <c r="T84" s="24"/>
      <c r="U84" s="24"/>
      <c r="V84" s="24"/>
      <c r="W84" s="24"/>
      <c r="X84" s="24"/>
      <c r="Y84" s="24"/>
      <c r="Z84" s="24"/>
      <c r="AA84" s="89"/>
      <c r="AB84" s="89"/>
      <c r="AC84" s="89"/>
      <c r="AD84" s="89"/>
    </row>
    <row r="85" spans="1:30" s="25" customFormat="1" ht="29" customHeight="1" x14ac:dyDescent="0.2">
      <c r="A85" s="83"/>
      <c r="B85" s="113" t="s">
        <v>101</v>
      </c>
      <c r="C85" s="114"/>
      <c r="D85" s="114"/>
      <c r="E85" s="115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69">
        <v>1</v>
      </c>
      <c r="R85" s="69">
        <v>1</v>
      </c>
      <c r="S85" s="22">
        <f t="shared" si="48"/>
        <v>2</v>
      </c>
      <c r="T85" s="24"/>
      <c r="U85" s="24"/>
      <c r="V85" s="24"/>
      <c r="W85" s="24"/>
      <c r="X85" s="24"/>
      <c r="Y85" s="24"/>
      <c r="Z85" s="24"/>
      <c r="AA85" s="89"/>
      <c r="AB85" s="89"/>
      <c r="AC85" s="89"/>
      <c r="AD85" s="89"/>
    </row>
    <row r="86" spans="1:30" s="25" customFormat="1" ht="25" customHeight="1" x14ac:dyDescent="0.2">
      <c r="A86" s="83"/>
      <c r="B86" s="104" t="s">
        <v>102</v>
      </c>
      <c r="C86" s="105"/>
      <c r="D86" s="105"/>
      <c r="E86" s="106"/>
      <c r="F86" s="24" t="s">
        <v>103</v>
      </c>
      <c r="G86" s="67">
        <f t="shared" ref="G86:R86" si="55">(G87*100)/$S$87</f>
        <v>11.111111111111111</v>
      </c>
      <c r="H86" s="67">
        <f t="shared" si="55"/>
        <v>33.333333333333336</v>
      </c>
      <c r="I86" s="67">
        <f t="shared" si="55"/>
        <v>44.444444444444443</v>
      </c>
      <c r="J86" s="67">
        <f t="shared" si="55"/>
        <v>55.555555555555557</v>
      </c>
      <c r="K86" s="67">
        <f t="shared" si="55"/>
        <v>61.111111111111114</v>
      </c>
      <c r="L86" s="67">
        <f t="shared" si="55"/>
        <v>66.666666666666671</v>
      </c>
      <c r="M86" s="67">
        <f t="shared" si="55"/>
        <v>72.222222222222229</v>
      </c>
      <c r="N86" s="67">
        <f t="shared" si="55"/>
        <v>77.777777777777771</v>
      </c>
      <c r="O86" s="67">
        <f t="shared" si="55"/>
        <v>83.333333333333329</v>
      </c>
      <c r="P86" s="67">
        <f t="shared" si="55"/>
        <v>88.888888888888886</v>
      </c>
      <c r="Q86" s="67">
        <f t="shared" si="55"/>
        <v>94.444444444444443</v>
      </c>
      <c r="R86" s="67">
        <f t="shared" si="55"/>
        <v>100</v>
      </c>
      <c r="S86" s="24"/>
      <c r="T86" s="24"/>
      <c r="U86" s="24"/>
      <c r="V86" s="24"/>
      <c r="W86" s="24"/>
      <c r="X86" s="24"/>
      <c r="Y86" s="24"/>
      <c r="Z86" s="24"/>
      <c r="AA86" s="88" t="s">
        <v>104</v>
      </c>
      <c r="AB86" s="88" t="s">
        <v>105</v>
      </c>
      <c r="AC86" s="88"/>
      <c r="AD86" s="88"/>
    </row>
    <row r="87" spans="1:30" s="25" customFormat="1" ht="23.25" hidden="1" customHeight="1" x14ac:dyDescent="0.2">
      <c r="A87" s="83"/>
      <c r="B87" s="20"/>
      <c r="C87" s="20"/>
      <c r="D87" s="20"/>
      <c r="E87" s="20"/>
      <c r="F87" s="24"/>
      <c r="G87" s="24">
        <f>SUM(G88:G91)</f>
        <v>2</v>
      </c>
      <c r="H87" s="24">
        <f t="shared" ref="H87:R87" si="56">G87+SUM(H88:H91)</f>
        <v>6</v>
      </c>
      <c r="I87" s="24">
        <f t="shared" si="56"/>
        <v>8</v>
      </c>
      <c r="J87" s="24">
        <f t="shared" si="56"/>
        <v>10</v>
      </c>
      <c r="K87" s="24">
        <f t="shared" si="56"/>
        <v>11</v>
      </c>
      <c r="L87" s="24">
        <f t="shared" si="56"/>
        <v>12</v>
      </c>
      <c r="M87" s="24">
        <f t="shared" si="56"/>
        <v>13</v>
      </c>
      <c r="N87" s="24">
        <f t="shared" si="56"/>
        <v>14</v>
      </c>
      <c r="O87" s="24">
        <f t="shared" si="56"/>
        <v>15</v>
      </c>
      <c r="P87" s="24">
        <f t="shared" si="56"/>
        <v>16</v>
      </c>
      <c r="Q87" s="24">
        <f t="shared" si="56"/>
        <v>17</v>
      </c>
      <c r="R87" s="24">
        <f t="shared" si="56"/>
        <v>18</v>
      </c>
      <c r="S87" s="24">
        <v>18</v>
      </c>
      <c r="T87" s="24"/>
      <c r="U87" s="24"/>
      <c r="V87" s="24"/>
      <c r="W87" s="24"/>
      <c r="X87" s="24"/>
      <c r="Y87" s="24"/>
      <c r="Z87" s="24"/>
      <c r="AA87" s="89"/>
      <c r="AB87" s="89"/>
      <c r="AC87" s="89"/>
      <c r="AD87" s="89"/>
    </row>
    <row r="88" spans="1:30" s="25" customFormat="1" ht="22" customHeight="1" x14ac:dyDescent="0.2">
      <c r="A88" s="83"/>
      <c r="B88" s="113" t="s">
        <v>106</v>
      </c>
      <c r="C88" s="114"/>
      <c r="D88" s="114"/>
      <c r="E88" s="115"/>
      <c r="F88" s="24"/>
      <c r="G88" s="24"/>
      <c r="H88" s="69">
        <v>1</v>
      </c>
      <c r="I88" s="69">
        <v>1</v>
      </c>
      <c r="J88" s="69">
        <v>1</v>
      </c>
      <c r="K88" s="24"/>
      <c r="L88" s="24"/>
      <c r="M88" s="24"/>
      <c r="N88" s="24"/>
      <c r="O88" s="24"/>
      <c r="P88" s="24"/>
      <c r="Q88" s="24"/>
      <c r="R88" s="24"/>
      <c r="S88" s="22">
        <f t="shared" si="48"/>
        <v>3</v>
      </c>
      <c r="T88" s="24"/>
      <c r="U88" s="24"/>
      <c r="V88" s="24"/>
      <c r="W88" s="24"/>
      <c r="X88" s="24"/>
      <c r="Y88" s="24"/>
      <c r="Z88" s="24"/>
      <c r="AA88" s="89"/>
      <c r="AB88" s="89"/>
      <c r="AC88" s="89"/>
      <c r="AD88" s="89"/>
    </row>
    <row r="89" spans="1:30" s="25" customFormat="1" x14ac:dyDescent="0.2">
      <c r="A89" s="83"/>
      <c r="B89" s="147" t="s">
        <v>107</v>
      </c>
      <c r="C89" s="148"/>
      <c r="D89" s="148"/>
      <c r="E89" s="149"/>
      <c r="F89" s="24"/>
      <c r="G89" s="69">
        <v>1</v>
      </c>
      <c r="H89" s="69">
        <v>1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2">
        <f t="shared" si="48"/>
        <v>2</v>
      </c>
      <c r="T89" s="24"/>
      <c r="U89" s="24"/>
      <c r="V89" s="24"/>
      <c r="W89" s="24"/>
      <c r="X89" s="24"/>
      <c r="Y89" s="24"/>
      <c r="Z89" s="24"/>
      <c r="AA89" s="89"/>
      <c r="AB89" s="89"/>
      <c r="AC89" s="89"/>
      <c r="AD89" s="89"/>
    </row>
    <row r="90" spans="1:30" s="25" customFormat="1" x14ac:dyDescent="0.2">
      <c r="A90" s="83"/>
      <c r="B90" s="116" t="s">
        <v>108</v>
      </c>
      <c r="C90" s="117"/>
      <c r="D90" s="117"/>
      <c r="E90" s="118"/>
      <c r="F90" s="24"/>
      <c r="G90" s="69">
        <v>1</v>
      </c>
      <c r="H90" s="69">
        <v>1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2">
        <f t="shared" si="48"/>
        <v>2</v>
      </c>
      <c r="T90" s="24"/>
      <c r="U90" s="24"/>
      <c r="V90" s="24"/>
      <c r="W90" s="24"/>
      <c r="X90" s="24"/>
      <c r="Y90" s="24"/>
      <c r="Z90" s="24"/>
      <c r="AA90" s="89"/>
      <c r="AB90" s="89"/>
      <c r="AC90" s="89"/>
      <c r="AD90" s="89"/>
    </row>
    <row r="91" spans="1:30" s="25" customFormat="1" ht="72" customHeight="1" x14ac:dyDescent="0.2">
      <c r="A91" s="83"/>
      <c r="B91" s="140" t="s">
        <v>109</v>
      </c>
      <c r="C91" s="141"/>
      <c r="D91" s="141"/>
      <c r="E91" s="142"/>
      <c r="F91" s="24"/>
      <c r="G91" s="24"/>
      <c r="H91" s="69">
        <v>1</v>
      </c>
      <c r="I91" s="69">
        <v>1</v>
      </c>
      <c r="J91" s="69">
        <v>1</v>
      </c>
      <c r="K91" s="69">
        <v>1</v>
      </c>
      <c r="L91" s="69">
        <v>1</v>
      </c>
      <c r="M91" s="69">
        <v>1</v>
      </c>
      <c r="N91" s="69">
        <v>1</v>
      </c>
      <c r="O91" s="69">
        <v>1</v>
      </c>
      <c r="P91" s="69">
        <v>1</v>
      </c>
      <c r="Q91" s="69">
        <v>1</v>
      </c>
      <c r="R91" s="69">
        <v>1</v>
      </c>
      <c r="S91" s="22">
        <f t="shared" si="48"/>
        <v>11</v>
      </c>
      <c r="T91" s="24"/>
      <c r="U91" s="24"/>
      <c r="V91" s="24"/>
      <c r="W91" s="24"/>
      <c r="X91" s="24"/>
      <c r="Y91" s="24"/>
      <c r="Z91" s="24"/>
      <c r="AA91" s="89"/>
      <c r="AB91" s="89"/>
      <c r="AC91" s="89"/>
      <c r="AD91" s="89"/>
    </row>
    <row r="92" spans="1:30" s="25" customFormat="1" ht="21" customHeight="1" x14ac:dyDescent="0.2">
      <c r="A92" s="83"/>
      <c r="B92" s="85" t="s">
        <v>110</v>
      </c>
      <c r="C92" s="85"/>
      <c r="D92" s="85"/>
      <c r="E92" s="85"/>
      <c r="F92" s="34" t="s">
        <v>111</v>
      </c>
      <c r="G92" s="24"/>
      <c r="H92" s="24"/>
      <c r="I92" s="24"/>
      <c r="J92" s="24"/>
      <c r="K92" s="24"/>
      <c r="L92" s="24"/>
      <c r="M92" s="67">
        <f t="shared" ref="M92:R92" si="57">(M93*100)/$S$93</f>
        <v>14.285714285714286</v>
      </c>
      <c r="N92" s="67">
        <f t="shared" si="57"/>
        <v>28.571428571428573</v>
      </c>
      <c r="O92" s="67">
        <f t="shared" si="57"/>
        <v>57.142857142857146</v>
      </c>
      <c r="P92" s="67">
        <f t="shared" si="57"/>
        <v>71.428571428571431</v>
      </c>
      <c r="Q92" s="67">
        <f t="shared" si="57"/>
        <v>85.714285714285708</v>
      </c>
      <c r="R92" s="67">
        <f t="shared" si="57"/>
        <v>100</v>
      </c>
      <c r="S92" s="24"/>
      <c r="T92" s="24"/>
      <c r="U92" s="24"/>
      <c r="V92" s="24"/>
      <c r="W92" s="24"/>
      <c r="X92" s="24"/>
      <c r="Y92" s="24"/>
      <c r="Z92" s="24"/>
      <c r="AA92" s="146"/>
      <c r="AB92" s="123"/>
      <c r="AC92" s="88" t="s">
        <v>112</v>
      </c>
      <c r="AD92" s="88"/>
    </row>
    <row r="93" spans="1:30" s="25" customFormat="1" ht="27" hidden="1" customHeight="1" x14ac:dyDescent="0.2">
      <c r="A93" s="83"/>
      <c r="B93" s="20"/>
      <c r="C93" s="20"/>
      <c r="D93" s="20"/>
      <c r="E93" s="20"/>
      <c r="F93" s="34"/>
      <c r="G93" s="24"/>
      <c r="H93" s="24"/>
      <c r="I93" s="24"/>
      <c r="J93" s="24"/>
      <c r="K93" s="24"/>
      <c r="L93" s="24"/>
      <c r="M93" s="24">
        <f>SUM(M94:M97)</f>
        <v>1</v>
      </c>
      <c r="N93" s="24">
        <f>M93+SUM(N94:N97)</f>
        <v>2</v>
      </c>
      <c r="O93" s="24">
        <f>N93+SUM(O94:O97)</f>
        <v>4</v>
      </c>
      <c r="P93" s="24">
        <f>O93+SUM(P94:P97)</f>
        <v>5</v>
      </c>
      <c r="Q93" s="24">
        <f>P93+SUM(Q94:Q97)</f>
        <v>6</v>
      </c>
      <c r="R93" s="24">
        <f>Q93+SUM(R94:R97)</f>
        <v>7</v>
      </c>
      <c r="S93" s="24">
        <v>7</v>
      </c>
      <c r="T93" s="24"/>
      <c r="U93" s="24"/>
      <c r="V93" s="24"/>
      <c r="W93" s="24"/>
      <c r="X93" s="24"/>
      <c r="Y93" s="24"/>
      <c r="Z93" s="24"/>
      <c r="AA93" s="123"/>
      <c r="AB93" s="123"/>
      <c r="AC93" s="88"/>
      <c r="AD93" s="88"/>
    </row>
    <row r="94" spans="1:30" s="25" customFormat="1" x14ac:dyDescent="0.2">
      <c r="A94" s="83"/>
      <c r="B94" s="116" t="s">
        <v>113</v>
      </c>
      <c r="C94" s="117"/>
      <c r="D94" s="117"/>
      <c r="E94" s="118"/>
      <c r="F94" s="34"/>
      <c r="G94" s="24"/>
      <c r="H94" s="24"/>
      <c r="I94" s="24"/>
      <c r="J94" s="24"/>
      <c r="K94" s="24"/>
      <c r="L94" s="24"/>
      <c r="M94" s="69">
        <v>1</v>
      </c>
      <c r="N94" s="24"/>
      <c r="O94" s="24"/>
      <c r="P94" s="24"/>
      <c r="Q94" s="24"/>
      <c r="R94" s="24"/>
      <c r="S94" s="22">
        <f t="shared" si="48"/>
        <v>1</v>
      </c>
      <c r="T94" s="24"/>
      <c r="U94" s="24"/>
      <c r="V94" s="24"/>
      <c r="W94" s="24"/>
      <c r="X94" s="24"/>
      <c r="Y94" s="24"/>
      <c r="Z94" s="24"/>
      <c r="AA94" s="123"/>
      <c r="AB94" s="123"/>
      <c r="AC94" s="88"/>
      <c r="AD94" s="88"/>
    </row>
    <row r="95" spans="1:30" s="25" customFormat="1" x14ac:dyDescent="0.2">
      <c r="A95" s="83"/>
      <c r="B95" s="113" t="s">
        <v>114</v>
      </c>
      <c r="C95" s="114"/>
      <c r="D95" s="114"/>
      <c r="E95" s="115"/>
      <c r="F95" s="34"/>
      <c r="G95" s="24"/>
      <c r="H95" s="24"/>
      <c r="I95" s="24"/>
      <c r="J95" s="24"/>
      <c r="K95" s="24"/>
      <c r="L95" s="24"/>
      <c r="M95" s="24"/>
      <c r="N95" s="69">
        <v>1</v>
      </c>
      <c r="O95" s="69">
        <v>1</v>
      </c>
      <c r="P95" s="24"/>
      <c r="Q95" s="24"/>
      <c r="R95" s="24"/>
      <c r="S95" s="22">
        <f t="shared" si="48"/>
        <v>2</v>
      </c>
      <c r="T95" s="24"/>
      <c r="U95" s="24"/>
      <c r="V95" s="24"/>
      <c r="W95" s="24"/>
      <c r="X95" s="24"/>
      <c r="Y95" s="24"/>
      <c r="Z95" s="24"/>
      <c r="AA95" s="123"/>
      <c r="AB95" s="123"/>
      <c r="AC95" s="88"/>
      <c r="AD95" s="88"/>
    </row>
    <row r="96" spans="1:30" s="25" customFormat="1" x14ac:dyDescent="0.2">
      <c r="A96" s="83"/>
      <c r="B96" s="116" t="s">
        <v>115</v>
      </c>
      <c r="C96" s="117"/>
      <c r="D96" s="117"/>
      <c r="E96" s="118"/>
      <c r="F96" s="34"/>
      <c r="G96" s="24"/>
      <c r="H96" s="24"/>
      <c r="I96" s="24"/>
      <c r="J96" s="24"/>
      <c r="K96" s="24"/>
      <c r="L96" s="24"/>
      <c r="M96" s="24"/>
      <c r="N96" s="24"/>
      <c r="O96" s="69">
        <v>1</v>
      </c>
      <c r="P96" s="69">
        <v>1</v>
      </c>
      <c r="Q96" s="24"/>
      <c r="R96" s="24"/>
      <c r="S96" s="22">
        <f t="shared" si="48"/>
        <v>2</v>
      </c>
      <c r="T96" s="24"/>
      <c r="U96" s="24"/>
      <c r="V96" s="24"/>
      <c r="W96" s="24"/>
      <c r="X96" s="24"/>
      <c r="Y96" s="24"/>
      <c r="Z96" s="24"/>
      <c r="AA96" s="123"/>
      <c r="AB96" s="123"/>
      <c r="AC96" s="88"/>
      <c r="AD96" s="88"/>
    </row>
    <row r="97" spans="1:30" s="25" customFormat="1" ht="26" customHeight="1" x14ac:dyDescent="0.2">
      <c r="A97" s="83"/>
      <c r="B97" s="113" t="s">
        <v>116</v>
      </c>
      <c r="C97" s="114"/>
      <c r="D97" s="114"/>
      <c r="E97" s="115"/>
      <c r="F97" s="3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69">
        <v>1</v>
      </c>
      <c r="R97" s="69">
        <v>1</v>
      </c>
      <c r="S97" s="22">
        <f t="shared" si="48"/>
        <v>2</v>
      </c>
      <c r="T97" s="24"/>
      <c r="U97" s="24"/>
      <c r="V97" s="24"/>
      <c r="W97" s="24"/>
      <c r="X97" s="24"/>
      <c r="Y97" s="24"/>
      <c r="Z97" s="24"/>
      <c r="AA97" s="123"/>
      <c r="AB97" s="123"/>
      <c r="AC97" s="88"/>
      <c r="AD97" s="88"/>
    </row>
    <row r="98" spans="1:30" s="25" customFormat="1" ht="51" customHeight="1" x14ac:dyDescent="0.4">
      <c r="A98" s="83"/>
      <c r="B98" s="85" t="s">
        <v>117</v>
      </c>
      <c r="C98" s="85"/>
      <c r="D98" s="85"/>
      <c r="E98" s="85"/>
      <c r="F98" s="34" t="s">
        <v>118</v>
      </c>
      <c r="G98" s="68">
        <f>(G99*100)/$S$99</f>
        <v>12.5</v>
      </c>
      <c r="H98" s="68">
        <f>(H99*100)/$S$99</f>
        <v>37.5</v>
      </c>
      <c r="I98" s="68">
        <f>(I99*100)/$S$99</f>
        <v>50</v>
      </c>
      <c r="J98" s="68">
        <f>(J99*100)/$S$99</f>
        <v>75</v>
      </c>
      <c r="K98" s="68">
        <f>(K99*100)/$S$99</f>
        <v>100</v>
      </c>
      <c r="L98" s="35">
        <v>100</v>
      </c>
      <c r="M98" s="35">
        <v>100</v>
      </c>
      <c r="N98" s="35">
        <v>100</v>
      </c>
      <c r="O98" s="35">
        <v>100</v>
      </c>
      <c r="P98" s="35">
        <v>100</v>
      </c>
      <c r="Q98" s="35">
        <v>100</v>
      </c>
      <c r="R98" s="35">
        <v>100</v>
      </c>
      <c r="S98" s="22"/>
      <c r="T98" s="24"/>
      <c r="U98" s="24"/>
      <c r="V98" s="24"/>
      <c r="W98" s="24"/>
      <c r="X98" s="24"/>
      <c r="Y98" s="24"/>
      <c r="Z98" s="24"/>
      <c r="AA98" s="88" t="s">
        <v>119</v>
      </c>
      <c r="AB98" s="88" t="s">
        <v>120</v>
      </c>
      <c r="AC98" s="123"/>
      <c r="AD98" s="123"/>
    </row>
    <row r="99" spans="1:30" s="25" customFormat="1" ht="23.25" hidden="1" customHeight="1" x14ac:dyDescent="0.2">
      <c r="A99" s="83"/>
      <c r="B99" s="20"/>
      <c r="C99" s="20"/>
      <c r="D99" s="20"/>
      <c r="E99" s="20"/>
      <c r="F99" s="34"/>
      <c r="G99" s="24">
        <f>SUM(G100:G103)</f>
        <v>1</v>
      </c>
      <c r="H99" s="24">
        <f>G99+SUM(H100:H103)</f>
        <v>3</v>
      </c>
      <c r="I99" s="24">
        <f>H99+SUM(I100:I103)</f>
        <v>4</v>
      </c>
      <c r="J99" s="24">
        <f>I99+SUM(J100:J103)</f>
        <v>6</v>
      </c>
      <c r="K99" s="24">
        <f>J99+SUM(K100:K103)</f>
        <v>8</v>
      </c>
      <c r="L99" s="24"/>
      <c r="M99" s="24"/>
      <c r="N99" s="24"/>
      <c r="O99" s="24"/>
      <c r="P99" s="24"/>
      <c r="Q99" s="24"/>
      <c r="R99" s="24"/>
      <c r="S99" s="22">
        <v>8</v>
      </c>
      <c r="T99" s="24"/>
      <c r="U99" s="24"/>
      <c r="V99" s="24"/>
      <c r="W99" s="24"/>
      <c r="X99" s="24"/>
      <c r="Y99" s="24"/>
      <c r="Z99" s="24"/>
      <c r="AA99" s="89"/>
      <c r="AB99" s="89"/>
      <c r="AC99" s="123"/>
      <c r="AD99" s="123"/>
    </row>
    <row r="100" spans="1:30" s="25" customFormat="1" ht="45" customHeight="1" x14ac:dyDescent="0.2">
      <c r="A100" s="83"/>
      <c r="B100" s="116" t="s">
        <v>121</v>
      </c>
      <c r="C100" s="117"/>
      <c r="D100" s="117"/>
      <c r="E100" s="118"/>
      <c r="F100" s="34"/>
      <c r="G100" s="69">
        <v>1</v>
      </c>
      <c r="H100" s="69">
        <v>1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2">
        <f t="shared" si="48"/>
        <v>2</v>
      </c>
      <c r="T100" s="24"/>
      <c r="U100" s="24"/>
      <c r="V100" s="24"/>
      <c r="W100" s="24"/>
      <c r="X100" s="24"/>
      <c r="Y100" s="24"/>
      <c r="Z100" s="24"/>
      <c r="AA100" s="89"/>
      <c r="AB100" s="89"/>
      <c r="AC100" s="123"/>
      <c r="AD100" s="123"/>
    </row>
    <row r="101" spans="1:30" s="25" customFormat="1" ht="44" customHeight="1" x14ac:dyDescent="0.2">
      <c r="A101" s="83"/>
      <c r="B101" s="116" t="s">
        <v>122</v>
      </c>
      <c r="C101" s="117"/>
      <c r="D101" s="117"/>
      <c r="E101" s="118"/>
      <c r="F101" s="34"/>
      <c r="G101" s="24"/>
      <c r="H101" s="69">
        <v>1</v>
      </c>
      <c r="I101" s="69">
        <v>1</v>
      </c>
      <c r="J101" s="69">
        <v>1</v>
      </c>
      <c r="K101" s="24"/>
      <c r="L101" s="24"/>
      <c r="M101" s="24"/>
      <c r="N101" s="24"/>
      <c r="O101" s="24"/>
      <c r="P101" s="24"/>
      <c r="Q101" s="24"/>
      <c r="R101" s="24"/>
      <c r="S101" s="22">
        <f t="shared" si="48"/>
        <v>3</v>
      </c>
      <c r="T101" s="24"/>
      <c r="U101" s="24"/>
      <c r="V101" s="24"/>
      <c r="W101" s="24"/>
      <c r="X101" s="24"/>
      <c r="Y101" s="24"/>
      <c r="Z101" s="24"/>
      <c r="AA101" s="89"/>
      <c r="AB101" s="89"/>
      <c r="AC101" s="123"/>
      <c r="AD101" s="123"/>
    </row>
    <row r="102" spans="1:30" s="25" customFormat="1" ht="43.5" customHeight="1" x14ac:dyDescent="0.2">
      <c r="A102" s="83"/>
      <c r="B102" s="116" t="s">
        <v>123</v>
      </c>
      <c r="C102" s="117"/>
      <c r="D102" s="117"/>
      <c r="E102" s="118"/>
      <c r="F102" s="34"/>
      <c r="G102" s="24"/>
      <c r="H102" s="24"/>
      <c r="I102" s="24"/>
      <c r="J102" s="69">
        <v>1</v>
      </c>
      <c r="K102" s="69">
        <v>1</v>
      </c>
      <c r="L102" s="24"/>
      <c r="M102" s="24"/>
      <c r="N102" s="24"/>
      <c r="O102" s="24"/>
      <c r="P102" s="24"/>
      <c r="Q102" s="24"/>
      <c r="R102" s="24"/>
      <c r="S102" s="22">
        <f t="shared" si="48"/>
        <v>2</v>
      </c>
      <c r="T102" s="24"/>
      <c r="U102" s="24"/>
      <c r="V102" s="24"/>
      <c r="W102" s="24"/>
      <c r="X102" s="24"/>
      <c r="Y102" s="24"/>
      <c r="Z102" s="24"/>
      <c r="AA102" s="89"/>
      <c r="AB102" s="89"/>
      <c r="AC102" s="123"/>
      <c r="AD102" s="123"/>
    </row>
    <row r="103" spans="1:30" s="25" customFormat="1" ht="49.5" customHeight="1" x14ac:dyDescent="0.2">
      <c r="A103" s="83"/>
      <c r="B103" s="116" t="s">
        <v>116</v>
      </c>
      <c r="C103" s="117"/>
      <c r="D103" s="117"/>
      <c r="E103" s="118"/>
      <c r="F103" s="34"/>
      <c r="G103" s="24"/>
      <c r="H103" s="24"/>
      <c r="I103" s="24"/>
      <c r="J103" s="24"/>
      <c r="K103" s="69">
        <v>1</v>
      </c>
      <c r="L103" s="24"/>
      <c r="M103" s="24"/>
      <c r="N103" s="24"/>
      <c r="O103" s="24"/>
      <c r="P103" s="24"/>
      <c r="Q103" s="24"/>
      <c r="R103" s="24"/>
      <c r="S103" s="22">
        <f t="shared" si="48"/>
        <v>1</v>
      </c>
      <c r="T103" s="24"/>
      <c r="U103" s="24"/>
      <c r="V103" s="24"/>
      <c r="W103" s="24"/>
      <c r="X103" s="24"/>
      <c r="Y103" s="24"/>
      <c r="Z103" s="24"/>
      <c r="AA103" s="89"/>
      <c r="AB103" s="89"/>
      <c r="AC103" s="123"/>
      <c r="AD103" s="123"/>
    </row>
    <row r="104" spans="1:30" s="25" customFormat="1" ht="46.5" customHeight="1" x14ac:dyDescent="0.4">
      <c r="A104" s="83"/>
      <c r="B104" s="143" t="s">
        <v>124</v>
      </c>
      <c r="C104" s="144"/>
      <c r="D104" s="144"/>
      <c r="E104" s="145"/>
      <c r="F104" s="34" t="s">
        <v>125</v>
      </c>
      <c r="G104" s="68">
        <f t="shared" ref="G104:R104" si="58">(G105*100)/$S$105</f>
        <v>5.882352941176471</v>
      </c>
      <c r="H104" s="68">
        <f t="shared" si="58"/>
        <v>11.764705882352942</v>
      </c>
      <c r="I104" s="68">
        <f t="shared" si="58"/>
        <v>23.529411764705884</v>
      </c>
      <c r="J104" s="68">
        <f t="shared" si="58"/>
        <v>35.294117647058826</v>
      </c>
      <c r="K104" s="68">
        <f t="shared" si="58"/>
        <v>41.176470588235297</v>
      </c>
      <c r="L104" s="68">
        <f t="shared" si="58"/>
        <v>47.058823529411768</v>
      </c>
      <c r="M104" s="68">
        <f t="shared" si="58"/>
        <v>52.941176470588232</v>
      </c>
      <c r="N104" s="68">
        <f t="shared" si="58"/>
        <v>58.823529411764703</v>
      </c>
      <c r="O104" s="68">
        <f t="shared" si="58"/>
        <v>64.705882352941174</v>
      </c>
      <c r="P104" s="68">
        <f t="shared" si="58"/>
        <v>76.470588235294116</v>
      </c>
      <c r="Q104" s="68">
        <f t="shared" si="58"/>
        <v>88.235294117647058</v>
      </c>
      <c r="R104" s="68">
        <f t="shared" si="58"/>
        <v>100</v>
      </c>
      <c r="S104" s="24"/>
      <c r="T104" s="24" t="s">
        <v>126</v>
      </c>
      <c r="U104" s="24"/>
      <c r="V104" s="24"/>
      <c r="W104" s="24"/>
      <c r="X104" s="24"/>
      <c r="Y104" s="24"/>
      <c r="Z104" s="24"/>
      <c r="AA104" s="88" t="s">
        <v>127</v>
      </c>
      <c r="AB104" s="88" t="s">
        <v>128</v>
      </c>
      <c r="AC104" s="88"/>
      <c r="AD104" s="88"/>
    </row>
    <row r="105" spans="1:30" s="25" customFormat="1" ht="21" hidden="1" customHeight="1" x14ac:dyDescent="0.2">
      <c r="A105" s="83"/>
      <c r="B105" s="20"/>
      <c r="C105" s="20"/>
      <c r="D105" s="20"/>
      <c r="E105" s="20"/>
      <c r="F105" s="34"/>
      <c r="G105" s="24">
        <f>SUM(G106:G111)</f>
        <v>1</v>
      </c>
      <c r="H105" s="24">
        <f t="shared" ref="H105:R105" si="59">G105+SUM(H106:H111)</f>
        <v>2</v>
      </c>
      <c r="I105" s="24">
        <f t="shared" si="59"/>
        <v>4</v>
      </c>
      <c r="J105" s="24">
        <f t="shared" si="59"/>
        <v>6</v>
      </c>
      <c r="K105" s="24">
        <f t="shared" si="59"/>
        <v>7</v>
      </c>
      <c r="L105" s="24">
        <f t="shared" si="59"/>
        <v>8</v>
      </c>
      <c r="M105" s="24">
        <f t="shared" si="59"/>
        <v>9</v>
      </c>
      <c r="N105" s="24">
        <f t="shared" si="59"/>
        <v>10</v>
      </c>
      <c r="O105" s="24">
        <f t="shared" si="59"/>
        <v>11</v>
      </c>
      <c r="P105" s="24">
        <f t="shared" si="59"/>
        <v>13</v>
      </c>
      <c r="Q105" s="24">
        <f t="shared" si="59"/>
        <v>15</v>
      </c>
      <c r="R105" s="24">
        <f t="shared" si="59"/>
        <v>17</v>
      </c>
      <c r="S105" s="24">
        <v>17</v>
      </c>
      <c r="T105" s="24"/>
      <c r="U105" s="24"/>
      <c r="V105" s="24"/>
      <c r="W105" s="24"/>
      <c r="X105" s="24"/>
      <c r="Y105" s="24"/>
      <c r="Z105" s="24"/>
      <c r="AA105" s="89"/>
      <c r="AB105" s="89"/>
      <c r="AC105" s="89"/>
      <c r="AD105" s="89"/>
    </row>
    <row r="106" spans="1:30" s="25" customFormat="1" x14ac:dyDescent="0.2">
      <c r="A106" s="83"/>
      <c r="B106" s="116" t="s">
        <v>129</v>
      </c>
      <c r="C106" s="117"/>
      <c r="D106" s="117"/>
      <c r="E106" s="118"/>
      <c r="F106" s="34"/>
      <c r="G106" s="69">
        <v>1</v>
      </c>
      <c r="H106" s="69">
        <v>1</v>
      </c>
      <c r="I106" s="69">
        <v>1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2">
        <f t="shared" si="48"/>
        <v>3</v>
      </c>
      <c r="T106" s="24"/>
      <c r="U106" s="24"/>
      <c r="V106" s="24"/>
      <c r="W106" s="24"/>
      <c r="X106" s="24"/>
      <c r="Y106" s="24"/>
      <c r="Z106" s="24"/>
      <c r="AA106" s="89"/>
      <c r="AB106" s="89"/>
      <c r="AC106" s="89"/>
      <c r="AD106" s="89"/>
    </row>
    <row r="107" spans="1:30" s="25" customFormat="1" x14ac:dyDescent="0.2">
      <c r="A107" s="83"/>
      <c r="B107" s="116" t="s">
        <v>130</v>
      </c>
      <c r="C107" s="117"/>
      <c r="D107" s="117"/>
      <c r="E107" s="118"/>
      <c r="F107" s="34"/>
      <c r="G107" s="24"/>
      <c r="H107" s="24"/>
      <c r="I107" s="69">
        <v>1</v>
      </c>
      <c r="J107" s="69">
        <v>1</v>
      </c>
      <c r="K107" s="24"/>
      <c r="L107" s="24"/>
      <c r="M107" s="24"/>
      <c r="N107" s="24"/>
      <c r="O107" s="24"/>
      <c r="P107" s="24"/>
      <c r="Q107" s="24"/>
      <c r="R107" s="24"/>
      <c r="S107" s="22">
        <f t="shared" si="48"/>
        <v>2</v>
      </c>
      <c r="T107" s="24"/>
      <c r="U107" s="24"/>
      <c r="V107" s="24"/>
      <c r="W107" s="24"/>
      <c r="X107" s="24"/>
      <c r="Y107" s="24"/>
      <c r="Z107" s="24"/>
      <c r="AA107" s="89"/>
      <c r="AB107" s="89"/>
      <c r="AC107" s="89"/>
      <c r="AD107" s="89"/>
    </row>
    <row r="108" spans="1:30" s="25" customFormat="1" x14ac:dyDescent="0.2">
      <c r="A108" s="83"/>
      <c r="B108" s="113" t="s">
        <v>131</v>
      </c>
      <c r="C108" s="114"/>
      <c r="D108" s="114"/>
      <c r="E108" s="115"/>
      <c r="F108" s="34"/>
      <c r="G108" s="24"/>
      <c r="H108" s="24"/>
      <c r="I108" s="24"/>
      <c r="J108" s="69">
        <v>1</v>
      </c>
      <c r="K108" s="69">
        <v>1</v>
      </c>
      <c r="L108" s="69">
        <v>1</v>
      </c>
      <c r="M108" s="69">
        <v>1</v>
      </c>
      <c r="N108" s="69">
        <v>1</v>
      </c>
      <c r="O108" s="69">
        <v>1</v>
      </c>
      <c r="P108" s="69">
        <v>1</v>
      </c>
      <c r="Q108" s="24"/>
      <c r="R108" s="24"/>
      <c r="S108" s="22">
        <f t="shared" si="48"/>
        <v>7</v>
      </c>
      <c r="T108" s="24"/>
      <c r="U108" s="24"/>
      <c r="V108" s="24"/>
      <c r="W108" s="24"/>
      <c r="X108" s="24"/>
      <c r="Y108" s="24"/>
      <c r="Z108" s="24"/>
      <c r="AA108" s="89"/>
      <c r="AB108" s="89"/>
      <c r="AC108" s="89"/>
      <c r="AD108" s="89"/>
    </row>
    <row r="109" spans="1:30" s="25" customFormat="1" x14ac:dyDescent="0.2">
      <c r="A109" s="83"/>
      <c r="B109" s="116" t="s">
        <v>132</v>
      </c>
      <c r="C109" s="117"/>
      <c r="D109" s="117"/>
      <c r="E109" s="118"/>
      <c r="F109" s="34"/>
      <c r="G109" s="24"/>
      <c r="H109" s="24"/>
      <c r="I109" s="24"/>
      <c r="J109" s="24"/>
      <c r="K109" s="24"/>
      <c r="L109" s="24"/>
      <c r="M109" s="24"/>
      <c r="N109" s="24"/>
      <c r="O109" s="24"/>
      <c r="P109" s="69">
        <v>1</v>
      </c>
      <c r="Q109" s="69">
        <v>1</v>
      </c>
      <c r="R109" s="24"/>
      <c r="S109" s="22">
        <f t="shared" si="48"/>
        <v>2</v>
      </c>
      <c r="T109" s="24"/>
      <c r="U109" s="24"/>
      <c r="V109" s="24"/>
      <c r="W109" s="24"/>
      <c r="X109" s="24"/>
      <c r="Y109" s="24"/>
      <c r="Z109" s="24"/>
      <c r="AA109" s="89"/>
      <c r="AB109" s="89"/>
      <c r="AC109" s="89"/>
      <c r="AD109" s="89"/>
    </row>
    <row r="110" spans="1:30" s="25" customFormat="1" x14ac:dyDescent="0.2">
      <c r="A110" s="83"/>
      <c r="B110" s="113" t="s">
        <v>116</v>
      </c>
      <c r="C110" s="114"/>
      <c r="D110" s="114"/>
      <c r="E110" s="115"/>
      <c r="F110" s="3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69">
        <v>1</v>
      </c>
      <c r="R110" s="69">
        <v>1</v>
      </c>
      <c r="S110" s="22">
        <f t="shared" si="48"/>
        <v>2</v>
      </c>
      <c r="T110" s="24"/>
      <c r="U110" s="24"/>
      <c r="V110" s="24"/>
      <c r="W110" s="24"/>
      <c r="X110" s="24"/>
      <c r="Y110" s="24"/>
      <c r="Z110" s="24"/>
      <c r="AA110" s="89"/>
      <c r="AB110" s="89"/>
      <c r="AC110" s="89"/>
      <c r="AD110" s="89"/>
    </row>
    <row r="111" spans="1:30" s="25" customFormat="1" ht="33" customHeight="1" x14ac:dyDescent="0.2">
      <c r="A111" s="84"/>
      <c r="B111" s="116" t="s">
        <v>133</v>
      </c>
      <c r="C111" s="117"/>
      <c r="D111" s="117"/>
      <c r="E111" s="118"/>
      <c r="F111" s="3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69">
        <v>1</v>
      </c>
      <c r="S111" s="22">
        <f t="shared" si="48"/>
        <v>1</v>
      </c>
      <c r="T111" s="24"/>
      <c r="U111" s="24"/>
      <c r="V111" s="24"/>
      <c r="W111" s="24"/>
      <c r="X111" s="24"/>
      <c r="Y111" s="24"/>
      <c r="Z111" s="24"/>
      <c r="AA111" s="89"/>
      <c r="AB111" s="89"/>
      <c r="AC111" s="89"/>
      <c r="AD111" s="89"/>
    </row>
    <row r="112" spans="1:30" s="31" customFormat="1" ht="137" customHeight="1" x14ac:dyDescent="0.2">
      <c r="A112" s="12">
        <v>2.2999999999999998</v>
      </c>
      <c r="B112" s="26" t="s">
        <v>134</v>
      </c>
      <c r="C112" s="26" t="s">
        <v>135</v>
      </c>
      <c r="D112" s="26" t="s">
        <v>136</v>
      </c>
      <c r="E112" s="65" t="s">
        <v>137</v>
      </c>
      <c r="F112" s="12"/>
      <c r="G112" s="36">
        <f t="shared" ref="G112:R112" si="60">(G113+G120+G125+G129+G133+G136+G141)*100/$S$112</f>
        <v>1.9047619047619049</v>
      </c>
      <c r="H112" s="36">
        <f t="shared" si="60"/>
        <v>4.7619047619047619</v>
      </c>
      <c r="I112" s="36">
        <f t="shared" si="60"/>
        <v>9.5238095238095237</v>
      </c>
      <c r="J112" s="36">
        <f t="shared" si="60"/>
        <v>20.476190476190474</v>
      </c>
      <c r="K112" s="36">
        <f t="shared" si="60"/>
        <v>36.190476190476197</v>
      </c>
      <c r="L112" s="36">
        <f t="shared" si="60"/>
        <v>64.761904761904759</v>
      </c>
      <c r="M112" s="36">
        <f t="shared" si="60"/>
        <v>89.523809523809533</v>
      </c>
      <c r="N112" s="36">
        <f t="shared" si="60"/>
        <v>93.333333333333329</v>
      </c>
      <c r="O112" s="36">
        <f t="shared" si="60"/>
        <v>97.142857142857139</v>
      </c>
      <c r="P112" s="36">
        <f t="shared" si="60"/>
        <v>98.095238095238102</v>
      </c>
      <c r="Q112" s="36">
        <f t="shared" si="60"/>
        <v>99.047619047619037</v>
      </c>
      <c r="R112" s="36">
        <f t="shared" si="60"/>
        <v>100</v>
      </c>
      <c r="S112" s="26">
        <v>700</v>
      </c>
      <c r="T112" s="26" t="s">
        <v>138</v>
      </c>
      <c r="U112" s="37">
        <v>0.1</v>
      </c>
      <c r="V112" s="38"/>
      <c r="W112" s="38"/>
      <c r="X112" s="38"/>
      <c r="Y112" s="38"/>
      <c r="Z112" s="38"/>
      <c r="AA112" s="57"/>
      <c r="AB112" s="57"/>
      <c r="AC112" s="57"/>
      <c r="AD112" s="57"/>
    </row>
    <row r="113" spans="1:30" s="25" customFormat="1" ht="26" customHeight="1" x14ac:dyDescent="0.2">
      <c r="A113" s="82"/>
      <c r="B113" s="104" t="s">
        <v>139</v>
      </c>
      <c r="C113" s="105"/>
      <c r="D113" s="105"/>
      <c r="E113" s="106"/>
      <c r="F113" s="24" t="s">
        <v>140</v>
      </c>
      <c r="G113" s="67">
        <f t="shared" ref="G113:M113" si="61">(G114*100)/$S$114</f>
        <v>6.666666666666667</v>
      </c>
      <c r="H113" s="67">
        <f t="shared" si="61"/>
        <v>13.333333333333334</v>
      </c>
      <c r="I113" s="67">
        <f t="shared" si="61"/>
        <v>26.666666666666668</v>
      </c>
      <c r="J113" s="67">
        <f t="shared" si="61"/>
        <v>46.666666666666664</v>
      </c>
      <c r="K113" s="67">
        <f t="shared" si="61"/>
        <v>66.666666666666671</v>
      </c>
      <c r="L113" s="67">
        <f t="shared" si="61"/>
        <v>86.666666666666671</v>
      </c>
      <c r="M113" s="67">
        <f t="shared" si="61"/>
        <v>100</v>
      </c>
      <c r="N113" s="35">
        <v>100</v>
      </c>
      <c r="O113" s="35">
        <v>100</v>
      </c>
      <c r="P113" s="35">
        <v>100</v>
      </c>
      <c r="Q113" s="35">
        <v>100</v>
      </c>
      <c r="R113" s="35">
        <v>100</v>
      </c>
      <c r="S113" s="24"/>
      <c r="T113" s="24"/>
      <c r="U113" s="24"/>
      <c r="V113" s="24"/>
      <c r="W113" s="24"/>
      <c r="X113" s="24"/>
      <c r="Y113" s="24"/>
      <c r="Z113" s="24"/>
      <c r="AA113" s="88"/>
      <c r="AB113" s="88" t="s">
        <v>141</v>
      </c>
      <c r="AC113" s="88" t="s">
        <v>142</v>
      </c>
      <c r="AD113" s="88"/>
    </row>
    <row r="114" spans="1:30" s="25" customFormat="1" ht="23.25" hidden="1" customHeight="1" x14ac:dyDescent="0.2">
      <c r="A114" s="83"/>
      <c r="B114" s="20"/>
      <c r="C114" s="20"/>
      <c r="D114" s="20"/>
      <c r="E114" s="20"/>
      <c r="F114" s="24"/>
      <c r="G114" s="24">
        <f>SUM(G115:G119)</f>
        <v>1</v>
      </c>
      <c r="H114" s="24">
        <f t="shared" ref="H114:M114" si="62">G114+SUM(H115:H119)</f>
        <v>2</v>
      </c>
      <c r="I114" s="24">
        <f t="shared" si="62"/>
        <v>4</v>
      </c>
      <c r="J114" s="24">
        <f t="shared" si="62"/>
        <v>7</v>
      </c>
      <c r="K114" s="24">
        <f t="shared" si="62"/>
        <v>10</v>
      </c>
      <c r="L114" s="24">
        <f t="shared" si="62"/>
        <v>13</v>
      </c>
      <c r="M114" s="24">
        <f t="shared" si="62"/>
        <v>15</v>
      </c>
      <c r="N114" s="24"/>
      <c r="O114" s="24"/>
      <c r="P114" s="24"/>
      <c r="Q114" s="24"/>
      <c r="R114" s="24"/>
      <c r="S114" s="24">
        <v>15</v>
      </c>
      <c r="T114" s="24"/>
      <c r="U114" s="24"/>
      <c r="V114" s="24"/>
      <c r="W114" s="24"/>
      <c r="X114" s="24"/>
      <c r="Y114" s="24"/>
      <c r="Z114" s="24"/>
      <c r="AA114" s="89"/>
      <c r="AB114" s="89"/>
      <c r="AC114" s="89"/>
      <c r="AD114" s="89"/>
    </row>
    <row r="115" spans="1:30" s="25" customFormat="1" x14ac:dyDescent="0.2">
      <c r="A115" s="83"/>
      <c r="B115" s="113" t="s">
        <v>143</v>
      </c>
      <c r="C115" s="114"/>
      <c r="D115" s="114"/>
      <c r="E115" s="115"/>
      <c r="F115" s="24"/>
      <c r="G115" s="24"/>
      <c r="H115" s="24"/>
      <c r="I115" s="69">
        <v>1</v>
      </c>
      <c r="J115" s="69">
        <v>1</v>
      </c>
      <c r="K115" s="24"/>
      <c r="L115" s="24"/>
      <c r="M115" s="24"/>
      <c r="N115" s="24"/>
      <c r="O115" s="24"/>
      <c r="P115" s="24"/>
      <c r="Q115" s="24"/>
      <c r="R115" s="24"/>
      <c r="S115" s="22">
        <f t="shared" ref="S115:S194" si="63">SUM(G115:R115)</f>
        <v>2</v>
      </c>
      <c r="T115" s="24"/>
      <c r="U115" s="24"/>
      <c r="V115" s="24"/>
      <c r="W115" s="24"/>
      <c r="X115" s="24"/>
      <c r="Y115" s="24"/>
      <c r="Z115" s="24"/>
      <c r="AA115" s="89"/>
      <c r="AB115" s="89"/>
      <c r="AC115" s="89"/>
      <c r="AD115" s="89"/>
    </row>
    <row r="116" spans="1:30" s="25" customFormat="1" x14ac:dyDescent="0.2">
      <c r="A116" s="83"/>
      <c r="B116" s="113" t="s">
        <v>144</v>
      </c>
      <c r="C116" s="114"/>
      <c r="D116" s="114"/>
      <c r="E116" s="115"/>
      <c r="F116" s="24"/>
      <c r="G116" s="24"/>
      <c r="H116" s="24"/>
      <c r="I116" s="24"/>
      <c r="J116" s="69">
        <v>1</v>
      </c>
      <c r="K116" s="69">
        <v>1</v>
      </c>
      <c r="L116" s="69">
        <v>1</v>
      </c>
      <c r="M116" s="24"/>
      <c r="N116" s="24"/>
      <c r="O116" s="24"/>
      <c r="P116" s="24"/>
      <c r="Q116" s="24"/>
      <c r="R116" s="24"/>
      <c r="S116" s="22">
        <f t="shared" si="63"/>
        <v>3</v>
      </c>
      <c r="T116" s="24"/>
      <c r="U116" s="24"/>
      <c r="V116" s="24"/>
      <c r="W116" s="24"/>
      <c r="X116" s="24"/>
      <c r="Y116" s="24"/>
      <c r="Z116" s="24"/>
      <c r="AA116" s="89"/>
      <c r="AB116" s="89"/>
      <c r="AC116" s="89"/>
      <c r="AD116" s="89"/>
    </row>
    <row r="117" spans="1:30" s="25" customFormat="1" ht="42.5" customHeight="1" x14ac:dyDescent="0.2">
      <c r="A117" s="83"/>
      <c r="B117" s="116" t="s">
        <v>145</v>
      </c>
      <c r="C117" s="117"/>
      <c r="D117" s="117"/>
      <c r="E117" s="118"/>
      <c r="F117" s="24"/>
      <c r="G117" s="24"/>
      <c r="H117" s="24"/>
      <c r="I117" s="24"/>
      <c r="J117" s="24"/>
      <c r="K117" s="69">
        <v>1</v>
      </c>
      <c r="L117" s="69">
        <v>1</v>
      </c>
      <c r="M117" s="24"/>
      <c r="N117" s="24"/>
      <c r="O117" s="24"/>
      <c r="P117" s="24"/>
      <c r="Q117" s="24"/>
      <c r="R117" s="24"/>
      <c r="S117" s="22">
        <f t="shared" si="63"/>
        <v>2</v>
      </c>
      <c r="T117" s="24"/>
      <c r="U117" s="24"/>
      <c r="V117" s="24"/>
      <c r="W117" s="24"/>
      <c r="X117" s="24"/>
      <c r="Y117" s="24"/>
      <c r="Z117" s="24"/>
      <c r="AA117" s="89"/>
      <c r="AB117" s="89"/>
      <c r="AC117" s="89"/>
      <c r="AD117" s="89"/>
    </row>
    <row r="118" spans="1:30" s="25" customFormat="1" x14ac:dyDescent="0.2">
      <c r="A118" s="83"/>
      <c r="B118" s="134" t="s">
        <v>146</v>
      </c>
      <c r="C118" s="135"/>
      <c r="D118" s="135"/>
      <c r="E118" s="136"/>
      <c r="F118" s="24"/>
      <c r="G118" s="69">
        <v>1</v>
      </c>
      <c r="H118" s="69">
        <v>1</v>
      </c>
      <c r="I118" s="69">
        <v>1</v>
      </c>
      <c r="J118" s="69">
        <v>1</v>
      </c>
      <c r="K118" s="69">
        <v>1</v>
      </c>
      <c r="L118" s="69">
        <v>1</v>
      </c>
      <c r="M118" s="69">
        <v>1</v>
      </c>
      <c r="N118" s="24"/>
      <c r="O118" s="24"/>
      <c r="P118" s="24"/>
      <c r="Q118" s="24"/>
      <c r="R118" s="24"/>
      <c r="S118" s="22">
        <f t="shared" si="63"/>
        <v>7</v>
      </c>
      <c r="T118" s="24"/>
      <c r="U118" s="24"/>
      <c r="V118" s="24"/>
      <c r="W118" s="24"/>
      <c r="X118" s="24"/>
      <c r="Y118" s="24"/>
      <c r="Z118" s="24"/>
      <c r="AA118" s="89"/>
      <c r="AB118" s="89"/>
      <c r="AC118" s="89"/>
      <c r="AD118" s="89"/>
    </row>
    <row r="119" spans="1:30" s="25" customFormat="1" ht="47" customHeight="1" x14ac:dyDescent="0.2">
      <c r="A119" s="83"/>
      <c r="B119" s="116" t="s">
        <v>116</v>
      </c>
      <c r="C119" s="117"/>
      <c r="D119" s="117"/>
      <c r="E119" s="118"/>
      <c r="F119" s="24"/>
      <c r="G119" s="24"/>
      <c r="H119" s="24"/>
      <c r="I119" s="24"/>
      <c r="J119" s="24"/>
      <c r="K119" s="24"/>
      <c r="L119" s="24"/>
      <c r="M119" s="69">
        <v>1</v>
      </c>
      <c r="N119" s="24"/>
      <c r="O119" s="24"/>
      <c r="P119" s="24"/>
      <c r="Q119" s="24"/>
      <c r="R119" s="24"/>
      <c r="S119" s="22">
        <f t="shared" si="63"/>
        <v>1</v>
      </c>
      <c r="T119" s="24"/>
      <c r="U119" s="24"/>
      <c r="V119" s="24"/>
      <c r="W119" s="24"/>
      <c r="X119" s="24"/>
      <c r="Y119" s="24"/>
      <c r="Z119" s="24"/>
      <c r="AA119" s="89"/>
      <c r="AB119" s="89"/>
      <c r="AC119" s="89"/>
      <c r="AD119" s="89"/>
    </row>
    <row r="120" spans="1:30" s="25" customFormat="1" ht="56.25" customHeight="1" x14ac:dyDescent="0.4">
      <c r="A120" s="83"/>
      <c r="B120" s="85" t="s">
        <v>147</v>
      </c>
      <c r="C120" s="85"/>
      <c r="D120" s="85"/>
      <c r="E120" s="85"/>
      <c r="F120" s="39" t="s">
        <v>148</v>
      </c>
      <c r="G120" s="68">
        <f t="shared" ref="G120:R120" si="64">(G121*100)/$S$121</f>
        <v>6.666666666666667</v>
      </c>
      <c r="H120" s="68">
        <f t="shared" si="64"/>
        <v>20</v>
      </c>
      <c r="I120" s="68">
        <f t="shared" si="64"/>
        <v>40</v>
      </c>
      <c r="J120" s="68">
        <f t="shared" si="64"/>
        <v>46.666666666666664</v>
      </c>
      <c r="K120" s="68">
        <f t="shared" si="64"/>
        <v>53.333333333333336</v>
      </c>
      <c r="L120" s="68">
        <f t="shared" si="64"/>
        <v>60</v>
      </c>
      <c r="M120" s="68">
        <f t="shared" si="64"/>
        <v>66.666666666666671</v>
      </c>
      <c r="N120" s="68">
        <f t="shared" si="64"/>
        <v>73.333333333333329</v>
      </c>
      <c r="O120" s="68">
        <f t="shared" si="64"/>
        <v>80</v>
      </c>
      <c r="P120" s="68">
        <f t="shared" si="64"/>
        <v>86.666666666666671</v>
      </c>
      <c r="Q120" s="68">
        <f t="shared" si="64"/>
        <v>93.333333333333329</v>
      </c>
      <c r="R120" s="68">
        <f t="shared" si="64"/>
        <v>100</v>
      </c>
      <c r="S120" s="24"/>
      <c r="T120" s="24"/>
      <c r="U120" s="24"/>
      <c r="V120" s="24"/>
      <c r="W120" s="24"/>
      <c r="X120" s="24"/>
      <c r="Y120" s="24"/>
      <c r="Z120" s="24"/>
      <c r="AA120" s="88" t="s">
        <v>149</v>
      </c>
      <c r="AB120" s="88"/>
      <c r="AC120" s="88"/>
      <c r="AD120" s="88"/>
    </row>
    <row r="121" spans="1:30" s="25" customFormat="1" ht="23.25" hidden="1" customHeight="1" x14ac:dyDescent="0.2">
      <c r="A121" s="83"/>
      <c r="B121" s="20"/>
      <c r="C121" s="20"/>
      <c r="D121" s="20"/>
      <c r="E121" s="20"/>
      <c r="F121" s="39"/>
      <c r="G121" s="24">
        <f>SUM(G122:G124)</f>
        <v>1</v>
      </c>
      <c r="H121" s="24">
        <f t="shared" ref="H121:R121" si="65">G121+SUM(H122:H124)</f>
        <v>3</v>
      </c>
      <c r="I121" s="24">
        <f t="shared" si="65"/>
        <v>6</v>
      </c>
      <c r="J121" s="24">
        <f t="shared" si="65"/>
        <v>7</v>
      </c>
      <c r="K121" s="24">
        <f t="shared" si="65"/>
        <v>8</v>
      </c>
      <c r="L121" s="24">
        <f t="shared" si="65"/>
        <v>9</v>
      </c>
      <c r="M121" s="24">
        <f t="shared" si="65"/>
        <v>10</v>
      </c>
      <c r="N121" s="24">
        <f t="shared" si="65"/>
        <v>11</v>
      </c>
      <c r="O121" s="24">
        <f t="shared" si="65"/>
        <v>12</v>
      </c>
      <c r="P121" s="24">
        <f t="shared" si="65"/>
        <v>13</v>
      </c>
      <c r="Q121" s="24">
        <f t="shared" si="65"/>
        <v>14</v>
      </c>
      <c r="R121" s="24">
        <f t="shared" si="65"/>
        <v>15</v>
      </c>
      <c r="S121" s="24">
        <v>15</v>
      </c>
      <c r="T121" s="24"/>
      <c r="U121" s="24"/>
      <c r="V121" s="24"/>
      <c r="W121" s="24"/>
      <c r="X121" s="24"/>
      <c r="Y121" s="24"/>
      <c r="Z121" s="24"/>
      <c r="AA121" s="89"/>
      <c r="AB121" s="89"/>
      <c r="AC121" s="89"/>
      <c r="AD121" s="89"/>
    </row>
    <row r="122" spans="1:30" s="25" customFormat="1" x14ac:dyDescent="0.2">
      <c r="A122" s="83"/>
      <c r="B122" s="113" t="s">
        <v>150</v>
      </c>
      <c r="C122" s="114"/>
      <c r="D122" s="114"/>
      <c r="E122" s="115"/>
      <c r="F122" s="39"/>
      <c r="G122" s="69">
        <v>1</v>
      </c>
      <c r="H122" s="69">
        <v>1</v>
      </c>
      <c r="I122" s="69">
        <v>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22">
        <f t="shared" si="63"/>
        <v>3</v>
      </c>
      <c r="T122" s="24"/>
      <c r="U122" s="24"/>
      <c r="V122" s="24"/>
      <c r="W122" s="24"/>
      <c r="X122" s="24"/>
      <c r="Y122" s="24"/>
      <c r="Z122" s="24"/>
      <c r="AA122" s="89"/>
      <c r="AB122" s="89"/>
      <c r="AC122" s="89"/>
      <c r="AD122" s="89"/>
    </row>
    <row r="123" spans="1:30" s="25" customFormat="1" x14ac:dyDescent="0.2">
      <c r="A123" s="83"/>
      <c r="B123" s="113" t="s">
        <v>151</v>
      </c>
      <c r="C123" s="114"/>
      <c r="D123" s="114"/>
      <c r="E123" s="115"/>
      <c r="F123" s="24"/>
      <c r="G123" s="24"/>
      <c r="H123" s="69">
        <v>1</v>
      </c>
      <c r="I123" s="69">
        <v>1</v>
      </c>
      <c r="J123" s="69">
        <v>1</v>
      </c>
      <c r="K123" s="69">
        <v>1</v>
      </c>
      <c r="L123" s="69">
        <v>1</v>
      </c>
      <c r="M123" s="69">
        <v>1</v>
      </c>
      <c r="N123" s="69">
        <v>1</v>
      </c>
      <c r="O123" s="69">
        <v>1</v>
      </c>
      <c r="P123" s="69">
        <v>1</v>
      </c>
      <c r="Q123" s="69">
        <v>1</v>
      </c>
      <c r="R123" s="69">
        <v>1</v>
      </c>
      <c r="S123" s="22">
        <f t="shared" si="63"/>
        <v>11</v>
      </c>
      <c r="T123" s="24"/>
      <c r="U123" s="24"/>
      <c r="V123" s="24"/>
      <c r="W123" s="24"/>
      <c r="X123" s="24"/>
      <c r="Y123" s="24"/>
      <c r="Z123" s="24"/>
      <c r="AA123" s="89"/>
      <c r="AB123" s="89"/>
      <c r="AC123" s="89"/>
      <c r="AD123" s="89"/>
    </row>
    <row r="124" spans="1:30" s="25" customFormat="1" ht="31" customHeight="1" x14ac:dyDescent="0.2">
      <c r="A124" s="83"/>
      <c r="B124" s="113" t="s">
        <v>152</v>
      </c>
      <c r="C124" s="114"/>
      <c r="D124" s="114"/>
      <c r="E124" s="115"/>
      <c r="F124" s="24"/>
      <c r="G124" s="24"/>
      <c r="H124" s="24"/>
      <c r="I124" s="69">
        <v>1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2">
        <f t="shared" si="63"/>
        <v>1</v>
      </c>
      <c r="T124" s="24"/>
      <c r="U124" s="24"/>
      <c r="V124" s="24"/>
      <c r="W124" s="24"/>
      <c r="X124" s="24"/>
      <c r="Y124" s="24"/>
      <c r="Z124" s="24"/>
      <c r="AA124" s="89"/>
      <c r="AB124" s="89"/>
      <c r="AC124" s="89"/>
      <c r="AD124" s="89"/>
    </row>
    <row r="125" spans="1:30" s="25" customFormat="1" ht="28" customHeight="1" x14ac:dyDescent="0.4">
      <c r="A125" s="83"/>
      <c r="B125" s="85" t="s">
        <v>153</v>
      </c>
      <c r="C125" s="85"/>
      <c r="D125" s="85"/>
      <c r="E125" s="85"/>
      <c r="F125" s="39" t="s">
        <v>154</v>
      </c>
      <c r="G125" s="24"/>
      <c r="H125" s="24"/>
      <c r="I125" s="24"/>
      <c r="J125" s="68">
        <f>(J126*100)/$S$126</f>
        <v>25</v>
      </c>
      <c r="K125" s="68">
        <f>(K126*100)/$S$126</f>
        <v>50</v>
      </c>
      <c r="L125" s="68">
        <f>(L126*100)/$S$126</f>
        <v>75</v>
      </c>
      <c r="M125" s="68">
        <f>(M126*100)/$S$126</f>
        <v>100</v>
      </c>
      <c r="N125" s="35">
        <v>100</v>
      </c>
      <c r="O125" s="35">
        <v>100</v>
      </c>
      <c r="P125" s="35">
        <v>100</v>
      </c>
      <c r="Q125" s="35">
        <v>100</v>
      </c>
      <c r="R125" s="35">
        <v>100</v>
      </c>
      <c r="S125" s="24"/>
      <c r="T125" s="24"/>
      <c r="U125" s="24"/>
      <c r="V125" s="24"/>
      <c r="W125" s="24"/>
      <c r="X125" s="24"/>
      <c r="Y125" s="24"/>
      <c r="Z125" s="24"/>
      <c r="AA125" s="86"/>
      <c r="AB125" s="88"/>
      <c r="AC125" s="88"/>
      <c r="AD125" s="123"/>
    </row>
    <row r="126" spans="1:30" s="25" customFormat="1" ht="23.25" hidden="1" customHeight="1" x14ac:dyDescent="0.2">
      <c r="A126" s="83"/>
      <c r="B126" s="20"/>
      <c r="C126" s="20"/>
      <c r="D126" s="20"/>
      <c r="E126" s="20"/>
      <c r="F126" s="39"/>
      <c r="G126" s="24"/>
      <c r="H126" s="24"/>
      <c r="I126" s="24"/>
      <c r="J126" s="24">
        <f>SUM(J127:J128)</f>
        <v>1</v>
      </c>
      <c r="K126" s="24">
        <f>J126+SUM(K127:K128)</f>
        <v>2</v>
      </c>
      <c r="L126" s="24">
        <f>K126+SUM(L127:L128)</f>
        <v>3</v>
      </c>
      <c r="M126" s="24">
        <f>L126+SUM(M127:M128)</f>
        <v>4</v>
      </c>
      <c r="N126" s="35"/>
      <c r="O126" s="35"/>
      <c r="P126" s="35"/>
      <c r="Q126" s="35"/>
      <c r="R126" s="35"/>
      <c r="S126" s="24">
        <v>4</v>
      </c>
      <c r="T126" s="24"/>
      <c r="U126" s="24"/>
      <c r="V126" s="24"/>
      <c r="W126" s="24"/>
      <c r="X126" s="24"/>
      <c r="Y126" s="24"/>
      <c r="Z126" s="24"/>
      <c r="AA126" s="86"/>
      <c r="AB126" s="89"/>
      <c r="AC126" s="89"/>
      <c r="AD126" s="123"/>
    </row>
    <row r="127" spans="1:30" s="25" customFormat="1" ht="26" customHeight="1" x14ac:dyDescent="0.2">
      <c r="A127" s="83"/>
      <c r="B127" s="116" t="s">
        <v>155</v>
      </c>
      <c r="C127" s="117"/>
      <c r="D127" s="117"/>
      <c r="E127" s="118"/>
      <c r="F127" s="39"/>
      <c r="G127" s="24"/>
      <c r="H127" s="24"/>
      <c r="I127" s="24"/>
      <c r="J127" s="69">
        <v>1</v>
      </c>
      <c r="K127" s="69">
        <v>1</v>
      </c>
      <c r="L127" s="24"/>
      <c r="M127" s="24"/>
      <c r="N127" s="35"/>
      <c r="O127" s="35"/>
      <c r="P127" s="35"/>
      <c r="Q127" s="35"/>
      <c r="R127" s="35"/>
      <c r="S127" s="22">
        <f t="shared" si="63"/>
        <v>2</v>
      </c>
      <c r="T127" s="24"/>
      <c r="U127" s="24"/>
      <c r="V127" s="24"/>
      <c r="W127" s="24"/>
      <c r="X127" s="24"/>
      <c r="Y127" s="24"/>
      <c r="Z127" s="24"/>
      <c r="AA127" s="86"/>
      <c r="AB127" s="89"/>
      <c r="AC127" s="89"/>
      <c r="AD127" s="123"/>
    </row>
    <row r="128" spans="1:30" s="25" customFormat="1" ht="47.25" customHeight="1" x14ac:dyDescent="0.2">
      <c r="A128" s="83"/>
      <c r="B128" s="116" t="s">
        <v>156</v>
      </c>
      <c r="C128" s="117"/>
      <c r="D128" s="117"/>
      <c r="E128" s="118"/>
      <c r="F128" s="39"/>
      <c r="G128" s="24"/>
      <c r="H128" s="24"/>
      <c r="I128" s="24"/>
      <c r="J128" s="24"/>
      <c r="K128" s="24"/>
      <c r="L128" s="69">
        <v>1</v>
      </c>
      <c r="M128" s="69">
        <v>1</v>
      </c>
      <c r="N128" s="35"/>
      <c r="O128" s="35"/>
      <c r="P128" s="35"/>
      <c r="Q128" s="35"/>
      <c r="R128" s="35"/>
      <c r="S128" s="22">
        <f t="shared" si="63"/>
        <v>2</v>
      </c>
      <c r="T128" s="24"/>
      <c r="U128" s="24"/>
      <c r="V128" s="24"/>
      <c r="W128" s="24"/>
      <c r="X128" s="24"/>
      <c r="Y128" s="24"/>
      <c r="Z128" s="24"/>
      <c r="AA128" s="86"/>
      <c r="AB128" s="133"/>
      <c r="AC128" s="133"/>
      <c r="AD128" s="123"/>
    </row>
    <row r="129" spans="1:30" s="25" customFormat="1" ht="24.75" customHeight="1" x14ac:dyDescent="0.4">
      <c r="A129" s="83"/>
      <c r="B129" s="85" t="s">
        <v>157</v>
      </c>
      <c r="C129" s="85"/>
      <c r="D129" s="85"/>
      <c r="E129" s="85"/>
      <c r="F129" s="39" t="s">
        <v>158</v>
      </c>
      <c r="G129" s="24"/>
      <c r="H129" s="24"/>
      <c r="I129" s="24"/>
      <c r="J129" s="68">
        <f>(J130*100)/$S$130</f>
        <v>25</v>
      </c>
      <c r="K129" s="68">
        <f>(K130*100)/$S$130</f>
        <v>50</v>
      </c>
      <c r="L129" s="68">
        <f>(L130*100)/$S$130</f>
        <v>75</v>
      </c>
      <c r="M129" s="68">
        <f>(M130*100)/$S$130</f>
        <v>100</v>
      </c>
      <c r="N129" s="35">
        <v>100</v>
      </c>
      <c r="O129" s="35">
        <v>100</v>
      </c>
      <c r="P129" s="35">
        <v>100</v>
      </c>
      <c r="Q129" s="35">
        <v>100</v>
      </c>
      <c r="R129" s="35">
        <v>100</v>
      </c>
      <c r="S129" s="24"/>
      <c r="T129" s="24"/>
      <c r="U129" s="24"/>
      <c r="V129" s="24"/>
      <c r="W129" s="24"/>
      <c r="X129" s="24"/>
      <c r="Y129" s="24"/>
      <c r="Z129" s="24"/>
      <c r="AA129" s="88"/>
      <c r="AB129" s="88"/>
      <c r="AC129" s="88"/>
      <c r="AD129" s="123"/>
    </row>
    <row r="130" spans="1:30" s="25" customFormat="1" ht="23.25" hidden="1" customHeight="1" x14ac:dyDescent="0.2">
      <c r="A130" s="83"/>
      <c r="B130" s="20"/>
      <c r="C130" s="20"/>
      <c r="D130" s="20"/>
      <c r="E130" s="20"/>
      <c r="F130" s="39"/>
      <c r="G130" s="24"/>
      <c r="H130" s="24"/>
      <c r="I130" s="24"/>
      <c r="J130" s="40">
        <f>SUM(J131:J132)</f>
        <v>1</v>
      </c>
      <c r="K130" s="40">
        <f>J130+SUM(K131:K132)</f>
        <v>2</v>
      </c>
      <c r="L130" s="40">
        <f>K130+SUM(L131:L132)</f>
        <v>3</v>
      </c>
      <c r="M130" s="40">
        <f>L130+SUM(M131:M132)</f>
        <v>4</v>
      </c>
      <c r="N130" s="52"/>
      <c r="O130" s="35"/>
      <c r="P130" s="35"/>
      <c r="Q130" s="35"/>
      <c r="R130" s="35"/>
      <c r="S130" s="24">
        <v>4</v>
      </c>
      <c r="T130" s="24"/>
      <c r="U130" s="24"/>
      <c r="V130" s="24"/>
      <c r="W130" s="24"/>
      <c r="X130" s="24"/>
      <c r="Y130" s="24"/>
      <c r="Z130" s="24"/>
      <c r="AA130" s="89"/>
      <c r="AB130" s="89"/>
      <c r="AC130" s="89"/>
      <c r="AD130" s="123"/>
    </row>
    <row r="131" spans="1:30" s="25" customFormat="1" x14ac:dyDescent="0.2">
      <c r="A131" s="83"/>
      <c r="B131" s="116" t="s">
        <v>159</v>
      </c>
      <c r="C131" s="117"/>
      <c r="D131" s="117"/>
      <c r="E131" s="118"/>
      <c r="F131" s="39"/>
      <c r="G131" s="24"/>
      <c r="H131" s="24"/>
      <c r="I131" s="24"/>
      <c r="J131" s="69">
        <v>1</v>
      </c>
      <c r="K131" s="69">
        <v>1</v>
      </c>
      <c r="L131" s="69">
        <v>1</v>
      </c>
      <c r="M131" s="24"/>
      <c r="N131" s="35"/>
      <c r="O131" s="35"/>
      <c r="P131" s="35"/>
      <c r="Q131" s="35"/>
      <c r="R131" s="35"/>
      <c r="S131" s="22">
        <f t="shared" si="63"/>
        <v>3</v>
      </c>
      <c r="T131" s="24"/>
      <c r="U131" s="24"/>
      <c r="V131" s="24"/>
      <c r="W131" s="24"/>
      <c r="X131" s="24"/>
      <c r="Y131" s="24"/>
      <c r="Z131" s="24"/>
      <c r="AA131" s="89"/>
      <c r="AB131" s="89"/>
      <c r="AC131" s="89"/>
      <c r="AD131" s="123"/>
    </row>
    <row r="132" spans="1:30" s="25" customFormat="1" x14ac:dyDescent="0.2">
      <c r="A132" s="83"/>
      <c r="B132" s="113" t="s">
        <v>160</v>
      </c>
      <c r="C132" s="114"/>
      <c r="D132" s="114"/>
      <c r="E132" s="115"/>
      <c r="F132" s="39"/>
      <c r="G132" s="24"/>
      <c r="H132" s="24"/>
      <c r="I132" s="24"/>
      <c r="J132" s="24"/>
      <c r="K132" s="24"/>
      <c r="L132" s="24"/>
      <c r="M132" s="69">
        <v>1</v>
      </c>
      <c r="N132" s="35"/>
      <c r="O132" s="35"/>
      <c r="P132" s="35"/>
      <c r="Q132" s="35"/>
      <c r="R132" s="35"/>
      <c r="S132" s="22">
        <f t="shared" si="63"/>
        <v>1</v>
      </c>
      <c r="T132" s="24"/>
      <c r="U132" s="24"/>
      <c r="V132" s="24"/>
      <c r="W132" s="24"/>
      <c r="X132" s="24"/>
      <c r="Y132" s="24"/>
      <c r="Z132" s="24"/>
      <c r="AA132" s="89"/>
      <c r="AB132" s="89"/>
      <c r="AC132" s="89"/>
      <c r="AD132" s="123"/>
    </row>
    <row r="133" spans="1:30" s="25" customFormat="1" ht="25.5" customHeight="1" x14ac:dyDescent="0.4">
      <c r="A133" s="83"/>
      <c r="B133" s="85" t="s">
        <v>161</v>
      </c>
      <c r="C133" s="85"/>
      <c r="D133" s="85"/>
      <c r="E133" s="85"/>
      <c r="F133" s="39" t="s">
        <v>162</v>
      </c>
      <c r="G133" s="24"/>
      <c r="H133" s="24"/>
      <c r="I133" s="24"/>
      <c r="J133" s="24"/>
      <c r="K133" s="68">
        <f>(K134*100)/$S$134</f>
        <v>33.333333333333336</v>
      </c>
      <c r="L133" s="68">
        <f>(L134*100)/$S$134</f>
        <v>66.666666666666671</v>
      </c>
      <c r="M133" s="68">
        <f>(M134*100)/$S$134</f>
        <v>100</v>
      </c>
      <c r="N133" s="35">
        <v>100</v>
      </c>
      <c r="O133" s="35">
        <v>100</v>
      </c>
      <c r="P133" s="35">
        <v>100</v>
      </c>
      <c r="Q133" s="35">
        <v>100</v>
      </c>
      <c r="R133" s="35">
        <v>100</v>
      </c>
      <c r="S133" s="22"/>
      <c r="T133" s="24"/>
      <c r="U133" s="24"/>
      <c r="V133" s="24"/>
      <c r="W133" s="24"/>
      <c r="X133" s="24"/>
      <c r="Y133" s="24"/>
      <c r="Z133" s="24"/>
      <c r="AA133" s="86"/>
      <c r="AB133" s="88"/>
      <c r="AC133" s="88"/>
      <c r="AD133" s="123"/>
    </row>
    <row r="134" spans="1:30" s="25" customFormat="1" ht="20.25" hidden="1" customHeight="1" x14ac:dyDescent="0.2">
      <c r="A134" s="83"/>
      <c r="B134" s="20"/>
      <c r="C134" s="20"/>
      <c r="D134" s="20"/>
      <c r="E134" s="20"/>
      <c r="F134" s="39"/>
      <c r="G134" s="24"/>
      <c r="H134" s="24"/>
      <c r="I134" s="24"/>
      <c r="J134" s="24"/>
      <c r="K134" s="24">
        <f>K135</f>
        <v>1</v>
      </c>
      <c r="L134" s="24">
        <f>K134+L135</f>
        <v>2</v>
      </c>
      <c r="M134" s="24">
        <f>L134+M135</f>
        <v>3</v>
      </c>
      <c r="N134" s="35"/>
      <c r="O134" s="35"/>
      <c r="P134" s="35"/>
      <c r="Q134" s="35"/>
      <c r="R134" s="35"/>
      <c r="S134" s="22">
        <v>3</v>
      </c>
      <c r="T134" s="24"/>
      <c r="U134" s="24"/>
      <c r="V134" s="24"/>
      <c r="W134" s="24"/>
      <c r="X134" s="24"/>
      <c r="Y134" s="24"/>
      <c r="Z134" s="24"/>
      <c r="AA134" s="86"/>
      <c r="AB134" s="89"/>
      <c r="AC134" s="89"/>
      <c r="AD134" s="123"/>
    </row>
    <row r="135" spans="1:30" s="25" customFormat="1" ht="49.5" customHeight="1" x14ac:dyDescent="0.2">
      <c r="A135" s="83"/>
      <c r="B135" s="116" t="s">
        <v>163</v>
      </c>
      <c r="C135" s="117"/>
      <c r="D135" s="117"/>
      <c r="E135" s="118"/>
      <c r="F135" s="39"/>
      <c r="G135" s="24"/>
      <c r="H135" s="24"/>
      <c r="I135" s="24"/>
      <c r="J135" s="24"/>
      <c r="K135" s="69">
        <v>1</v>
      </c>
      <c r="L135" s="69">
        <v>1</v>
      </c>
      <c r="M135" s="69">
        <v>1</v>
      </c>
      <c r="N135" s="35"/>
      <c r="O135" s="35"/>
      <c r="P135" s="35"/>
      <c r="Q135" s="35"/>
      <c r="R135" s="35"/>
      <c r="S135" s="22">
        <f t="shared" si="63"/>
        <v>3</v>
      </c>
      <c r="T135" s="24"/>
      <c r="U135" s="24"/>
      <c r="V135" s="24"/>
      <c r="W135" s="24"/>
      <c r="X135" s="24"/>
      <c r="Y135" s="24"/>
      <c r="Z135" s="24"/>
      <c r="AA135" s="86"/>
      <c r="AB135" s="89"/>
      <c r="AC135" s="89"/>
      <c r="AD135" s="123"/>
    </row>
    <row r="136" spans="1:30" s="25" customFormat="1" ht="29" customHeight="1" x14ac:dyDescent="0.4">
      <c r="A136" s="83"/>
      <c r="B136" s="85" t="s">
        <v>164</v>
      </c>
      <c r="C136" s="85"/>
      <c r="D136" s="85"/>
      <c r="E136" s="85"/>
      <c r="F136" s="39" t="s">
        <v>165</v>
      </c>
      <c r="G136" s="24"/>
      <c r="H136" s="24"/>
      <c r="I136" s="24"/>
      <c r="J136" s="24"/>
      <c r="K136" s="24"/>
      <c r="L136" s="68">
        <f>(L137*100)/$S$137</f>
        <v>50</v>
      </c>
      <c r="M136" s="68">
        <f>(M137*100)/$S$137</f>
        <v>100</v>
      </c>
      <c r="N136" s="35">
        <v>100</v>
      </c>
      <c r="O136" s="35">
        <v>100</v>
      </c>
      <c r="P136" s="35">
        <v>100</v>
      </c>
      <c r="Q136" s="35">
        <v>100</v>
      </c>
      <c r="R136" s="35">
        <v>100</v>
      </c>
      <c r="S136" s="22"/>
      <c r="T136" s="24"/>
      <c r="U136" s="24"/>
      <c r="V136" s="24"/>
      <c r="W136" s="24"/>
      <c r="X136" s="24"/>
      <c r="Y136" s="24"/>
      <c r="Z136" s="24"/>
      <c r="AA136" s="86"/>
      <c r="AB136" s="127"/>
      <c r="AC136" s="89"/>
      <c r="AD136" s="123"/>
    </row>
    <row r="137" spans="1:30" s="25" customFormat="1" ht="23.25" hidden="1" customHeight="1" x14ac:dyDescent="0.2">
      <c r="A137" s="83"/>
      <c r="B137" s="20"/>
      <c r="C137" s="20"/>
      <c r="D137" s="20"/>
      <c r="E137" s="20"/>
      <c r="F137" s="39"/>
      <c r="G137" s="24"/>
      <c r="H137" s="24"/>
      <c r="I137" s="24"/>
      <c r="J137" s="24"/>
      <c r="K137" s="24"/>
      <c r="L137" s="24">
        <f>SUM(L138:L140)</f>
        <v>2</v>
      </c>
      <c r="M137" s="24">
        <f>L137+SUM(M138:M140)</f>
        <v>4</v>
      </c>
      <c r="N137" s="35"/>
      <c r="O137" s="35"/>
      <c r="P137" s="35"/>
      <c r="Q137" s="35"/>
      <c r="R137" s="35"/>
      <c r="S137" s="22">
        <v>4</v>
      </c>
      <c r="T137" s="24"/>
      <c r="U137" s="24"/>
      <c r="V137" s="24"/>
      <c r="W137" s="24"/>
      <c r="X137" s="24"/>
      <c r="Y137" s="24"/>
      <c r="Z137" s="24"/>
      <c r="AA137" s="86"/>
      <c r="AB137" s="128"/>
      <c r="AC137" s="89"/>
      <c r="AD137" s="123"/>
    </row>
    <row r="138" spans="1:30" s="25" customFormat="1" x14ac:dyDescent="0.2">
      <c r="A138" s="83"/>
      <c r="B138" s="113" t="s">
        <v>166</v>
      </c>
      <c r="C138" s="114"/>
      <c r="D138" s="114"/>
      <c r="E138" s="115"/>
      <c r="F138" s="39"/>
      <c r="G138" s="24"/>
      <c r="H138" s="24"/>
      <c r="I138" s="24"/>
      <c r="J138" s="24"/>
      <c r="K138" s="24"/>
      <c r="L138" s="69">
        <v>1</v>
      </c>
      <c r="M138" s="24"/>
      <c r="N138" s="35"/>
      <c r="O138" s="35"/>
      <c r="P138" s="35"/>
      <c r="Q138" s="35"/>
      <c r="R138" s="35"/>
      <c r="S138" s="22">
        <f t="shared" si="63"/>
        <v>1</v>
      </c>
      <c r="T138" s="24"/>
      <c r="U138" s="24"/>
      <c r="V138" s="24"/>
      <c r="W138" s="24"/>
      <c r="X138" s="24"/>
      <c r="Y138" s="24"/>
      <c r="Z138" s="24"/>
      <c r="AA138" s="86"/>
      <c r="AB138" s="128"/>
      <c r="AC138" s="89"/>
      <c r="AD138" s="123"/>
    </row>
    <row r="139" spans="1:30" s="25" customFormat="1" x14ac:dyDescent="0.2">
      <c r="A139" s="83"/>
      <c r="B139" s="113" t="s">
        <v>167</v>
      </c>
      <c r="C139" s="114"/>
      <c r="D139" s="114"/>
      <c r="E139" s="115"/>
      <c r="F139" s="39"/>
      <c r="G139" s="24"/>
      <c r="H139" s="24"/>
      <c r="I139" s="24"/>
      <c r="J139" s="24"/>
      <c r="K139" s="24"/>
      <c r="L139" s="69">
        <v>1</v>
      </c>
      <c r="M139" s="69">
        <v>1</v>
      </c>
      <c r="N139" s="35"/>
      <c r="O139" s="35"/>
      <c r="P139" s="35"/>
      <c r="Q139" s="35"/>
      <c r="R139" s="35"/>
      <c r="S139" s="22">
        <f t="shared" si="63"/>
        <v>2</v>
      </c>
      <c r="T139" s="24"/>
      <c r="U139" s="24"/>
      <c r="V139" s="24"/>
      <c r="W139" s="24"/>
      <c r="X139" s="24"/>
      <c r="Y139" s="24"/>
      <c r="Z139" s="24"/>
      <c r="AA139" s="86"/>
      <c r="AB139" s="128"/>
      <c r="AC139" s="89"/>
      <c r="AD139" s="123"/>
    </row>
    <row r="140" spans="1:30" s="25" customFormat="1" x14ac:dyDescent="0.2">
      <c r="A140" s="83"/>
      <c r="B140" s="113" t="s">
        <v>168</v>
      </c>
      <c r="C140" s="114"/>
      <c r="D140" s="114"/>
      <c r="E140" s="115"/>
      <c r="F140" s="39"/>
      <c r="G140" s="24"/>
      <c r="H140" s="24"/>
      <c r="I140" s="24"/>
      <c r="J140" s="24"/>
      <c r="K140" s="24"/>
      <c r="L140" s="24"/>
      <c r="M140" s="69">
        <v>1</v>
      </c>
      <c r="N140" s="35"/>
      <c r="O140" s="35"/>
      <c r="P140" s="35"/>
      <c r="Q140" s="35"/>
      <c r="R140" s="35"/>
      <c r="S140" s="22">
        <f t="shared" si="63"/>
        <v>1</v>
      </c>
      <c r="T140" s="24"/>
      <c r="U140" s="24"/>
      <c r="V140" s="24"/>
      <c r="W140" s="24"/>
      <c r="X140" s="24"/>
      <c r="Y140" s="24"/>
      <c r="Z140" s="24"/>
      <c r="AA140" s="86"/>
      <c r="AB140" s="128"/>
      <c r="AC140" s="89"/>
      <c r="AD140" s="123"/>
    </row>
    <row r="141" spans="1:30" s="25" customFormat="1" ht="28" customHeight="1" x14ac:dyDescent="0.4">
      <c r="A141" s="83"/>
      <c r="B141" s="85" t="s">
        <v>169</v>
      </c>
      <c r="C141" s="85"/>
      <c r="D141" s="85"/>
      <c r="E141" s="85"/>
      <c r="F141" s="39" t="s">
        <v>170</v>
      </c>
      <c r="G141" s="24"/>
      <c r="H141" s="24"/>
      <c r="I141" s="24"/>
      <c r="J141" s="24"/>
      <c r="K141" s="24"/>
      <c r="L141" s="68">
        <f>(L142*100)/$S$142</f>
        <v>40</v>
      </c>
      <c r="M141" s="68">
        <f>(M142*100)/$S$142</f>
        <v>60</v>
      </c>
      <c r="N141" s="68">
        <f>(N142*100)/$S$142</f>
        <v>80</v>
      </c>
      <c r="O141" s="68">
        <f>(O142*100)/$S$142</f>
        <v>100</v>
      </c>
      <c r="P141" s="35">
        <v>100</v>
      </c>
      <c r="Q141" s="35">
        <v>100</v>
      </c>
      <c r="R141" s="35">
        <v>100</v>
      </c>
      <c r="S141" s="22"/>
      <c r="T141" s="24"/>
      <c r="U141" s="24"/>
      <c r="V141" s="24"/>
      <c r="W141" s="24"/>
      <c r="X141" s="24"/>
      <c r="Y141" s="24"/>
      <c r="Z141" s="24"/>
      <c r="AA141" s="86"/>
      <c r="AB141" s="127"/>
      <c r="AC141" s="88"/>
      <c r="AD141" s="123"/>
    </row>
    <row r="142" spans="1:30" s="25" customFormat="1" ht="11" hidden="1" customHeight="1" x14ac:dyDescent="0.2">
      <c r="A142" s="83"/>
      <c r="B142" s="20"/>
      <c r="C142" s="20"/>
      <c r="D142" s="20"/>
      <c r="E142" s="20"/>
      <c r="F142" s="39"/>
      <c r="G142" s="24"/>
      <c r="H142" s="24"/>
      <c r="I142" s="24"/>
      <c r="J142" s="24"/>
      <c r="K142" s="24"/>
      <c r="L142" s="24">
        <f>SUM(L143:L145)</f>
        <v>2</v>
      </c>
      <c r="M142" s="24">
        <f>L142+SUM(M143:M145)</f>
        <v>3</v>
      </c>
      <c r="N142" s="24">
        <f>M142+SUM(N143:N145)</f>
        <v>4</v>
      </c>
      <c r="O142" s="24">
        <f>N142+SUM(O143:O145)</f>
        <v>5</v>
      </c>
      <c r="P142" s="24"/>
      <c r="Q142" s="24"/>
      <c r="R142" s="24"/>
      <c r="S142" s="22">
        <v>5</v>
      </c>
      <c r="T142" s="24"/>
      <c r="U142" s="24"/>
      <c r="V142" s="24"/>
      <c r="W142" s="24"/>
      <c r="X142" s="24"/>
      <c r="Y142" s="24"/>
      <c r="Z142" s="24"/>
      <c r="AA142" s="86"/>
      <c r="AB142" s="128"/>
      <c r="AC142" s="89"/>
      <c r="AD142" s="123"/>
    </row>
    <row r="143" spans="1:30" s="25" customFormat="1" x14ac:dyDescent="0.2">
      <c r="A143" s="83"/>
      <c r="B143" s="113" t="s">
        <v>171</v>
      </c>
      <c r="C143" s="114"/>
      <c r="D143" s="114"/>
      <c r="E143" s="115"/>
      <c r="F143" s="39"/>
      <c r="G143" s="24"/>
      <c r="H143" s="24"/>
      <c r="I143" s="24"/>
      <c r="J143" s="24"/>
      <c r="K143" s="24"/>
      <c r="L143" s="69">
        <v>1</v>
      </c>
      <c r="M143" s="24"/>
      <c r="N143" s="24"/>
      <c r="O143" s="24"/>
      <c r="P143" s="24"/>
      <c r="Q143" s="24"/>
      <c r="R143" s="24"/>
      <c r="S143" s="22">
        <f t="shared" si="63"/>
        <v>1</v>
      </c>
      <c r="T143" s="24"/>
      <c r="U143" s="24"/>
      <c r="V143" s="24"/>
      <c r="W143" s="24"/>
      <c r="X143" s="24"/>
      <c r="Y143" s="24"/>
      <c r="Z143" s="24"/>
      <c r="AA143" s="86"/>
      <c r="AB143" s="128"/>
      <c r="AC143" s="89"/>
      <c r="AD143" s="123"/>
    </row>
    <row r="144" spans="1:30" s="25" customFormat="1" x14ac:dyDescent="0.2">
      <c r="A144" s="83"/>
      <c r="B144" s="113" t="s">
        <v>172</v>
      </c>
      <c r="C144" s="114"/>
      <c r="D144" s="114"/>
      <c r="E144" s="115"/>
      <c r="F144" s="39"/>
      <c r="G144" s="24"/>
      <c r="H144" s="24"/>
      <c r="I144" s="24"/>
      <c r="J144" s="24"/>
      <c r="K144" s="24"/>
      <c r="L144" s="69">
        <v>1</v>
      </c>
      <c r="M144" s="69">
        <v>1</v>
      </c>
      <c r="N144" s="69">
        <v>1</v>
      </c>
      <c r="O144" s="24"/>
      <c r="P144" s="24"/>
      <c r="Q144" s="24"/>
      <c r="R144" s="24"/>
      <c r="S144" s="22">
        <f t="shared" si="63"/>
        <v>3</v>
      </c>
      <c r="T144" s="24"/>
      <c r="U144" s="24"/>
      <c r="V144" s="24"/>
      <c r="W144" s="24"/>
      <c r="X144" s="24"/>
      <c r="Y144" s="24"/>
      <c r="Z144" s="24"/>
      <c r="AA144" s="86"/>
      <c r="AB144" s="128"/>
      <c r="AC144" s="89"/>
      <c r="AD144" s="123"/>
    </row>
    <row r="145" spans="1:30" s="25" customFormat="1" ht="31" customHeight="1" x14ac:dyDescent="0.2">
      <c r="A145" s="84"/>
      <c r="B145" s="113" t="s">
        <v>173</v>
      </c>
      <c r="C145" s="114"/>
      <c r="D145" s="114"/>
      <c r="E145" s="115"/>
      <c r="F145" s="39"/>
      <c r="G145" s="24"/>
      <c r="H145" s="24"/>
      <c r="I145" s="24"/>
      <c r="J145" s="24"/>
      <c r="K145" s="24"/>
      <c r="L145" s="24"/>
      <c r="M145" s="24"/>
      <c r="N145" s="24"/>
      <c r="O145" s="69">
        <v>1</v>
      </c>
      <c r="P145" s="24"/>
      <c r="Q145" s="24"/>
      <c r="R145" s="24"/>
      <c r="S145" s="22">
        <f t="shared" si="63"/>
        <v>1</v>
      </c>
      <c r="T145" s="24"/>
      <c r="U145" s="24"/>
      <c r="V145" s="24"/>
      <c r="W145" s="24"/>
      <c r="X145" s="24"/>
      <c r="Y145" s="24"/>
      <c r="Z145" s="24"/>
      <c r="AA145" s="86"/>
      <c r="AB145" s="128"/>
      <c r="AC145" s="89"/>
      <c r="AD145" s="123"/>
    </row>
    <row r="146" spans="1:30" s="31" customFormat="1" ht="175" x14ac:dyDescent="0.2">
      <c r="A146" s="12">
        <v>2.4</v>
      </c>
      <c r="B146" s="26" t="s">
        <v>174</v>
      </c>
      <c r="C146" s="26" t="s">
        <v>175</v>
      </c>
      <c r="D146" s="26" t="s">
        <v>176</v>
      </c>
      <c r="E146" s="64" t="s">
        <v>177</v>
      </c>
      <c r="F146" s="26"/>
      <c r="G146" s="28">
        <f t="shared" ref="G146:R146" si="66">(G147+G152+G156+G160+G164+G167+G172+G175)*100/$S$146</f>
        <v>2.5924185463659146</v>
      </c>
      <c r="H146" s="28">
        <f t="shared" si="66"/>
        <v>5.1848370927318292</v>
      </c>
      <c r="I146" s="28">
        <f t="shared" si="66"/>
        <v>7.777255639097743</v>
      </c>
      <c r="J146" s="28">
        <f t="shared" si="66"/>
        <v>10.81610275689223</v>
      </c>
      <c r="K146" s="28">
        <f t="shared" si="66"/>
        <v>14.06641604010025</v>
      </c>
      <c r="L146" s="28">
        <f t="shared" si="66"/>
        <v>22.141290726817044</v>
      </c>
      <c r="M146" s="28">
        <f t="shared" si="66"/>
        <v>33.162593984962406</v>
      </c>
      <c r="N146" s="28">
        <f t="shared" si="66"/>
        <v>47.332393483709275</v>
      </c>
      <c r="O146" s="28">
        <f t="shared" si="66"/>
        <v>61.621240601503757</v>
      </c>
      <c r="P146" s="28">
        <f t="shared" si="66"/>
        <v>79.213659147869677</v>
      </c>
      <c r="Q146" s="28">
        <f t="shared" si="66"/>
        <v>94.517543859649109</v>
      </c>
      <c r="R146" s="28">
        <f t="shared" si="66"/>
        <v>105.35714285714286</v>
      </c>
      <c r="S146" s="41">
        <v>800</v>
      </c>
      <c r="T146" s="26" t="s">
        <v>178</v>
      </c>
      <c r="U146" s="37">
        <v>0.3</v>
      </c>
      <c r="V146" s="38"/>
      <c r="W146" s="38"/>
      <c r="X146" s="38"/>
      <c r="Y146" s="38"/>
      <c r="Z146" s="38"/>
      <c r="AA146" s="57"/>
      <c r="AB146" s="57"/>
      <c r="AC146" s="57"/>
      <c r="AD146" s="57"/>
    </row>
    <row r="147" spans="1:30" s="25" customFormat="1" ht="30" customHeight="1" x14ac:dyDescent="0.2">
      <c r="A147" s="82"/>
      <c r="B147" s="85" t="s">
        <v>179</v>
      </c>
      <c r="C147" s="85"/>
      <c r="D147" s="85"/>
      <c r="E147" s="85"/>
      <c r="F147" s="42" t="s">
        <v>180</v>
      </c>
      <c r="G147" s="67">
        <f t="shared" ref="G147:R147" si="67">(G148*100)/$S$148</f>
        <v>5.2631578947368425</v>
      </c>
      <c r="H147" s="67">
        <f t="shared" si="67"/>
        <v>10.526315789473685</v>
      </c>
      <c r="I147" s="67">
        <f t="shared" si="67"/>
        <v>15.789473684210526</v>
      </c>
      <c r="J147" s="67">
        <f t="shared" si="67"/>
        <v>21.05263157894737</v>
      </c>
      <c r="K147" s="67">
        <f t="shared" si="67"/>
        <v>31.578947368421051</v>
      </c>
      <c r="L147" s="67">
        <f t="shared" si="67"/>
        <v>47.368421052631582</v>
      </c>
      <c r="M147" s="67">
        <f t="shared" si="67"/>
        <v>63.157894736842103</v>
      </c>
      <c r="N147" s="67">
        <f t="shared" si="67"/>
        <v>68.421052631578945</v>
      </c>
      <c r="O147" s="67">
        <f t="shared" si="67"/>
        <v>73.684210526315795</v>
      </c>
      <c r="P147" s="67">
        <f t="shared" si="67"/>
        <v>78.94736842105263</v>
      </c>
      <c r="Q147" s="67">
        <f t="shared" si="67"/>
        <v>89.473684210526315</v>
      </c>
      <c r="R147" s="67">
        <f t="shared" si="67"/>
        <v>100</v>
      </c>
      <c r="S147" s="22"/>
      <c r="T147" s="24"/>
      <c r="U147" s="24"/>
      <c r="V147" s="24"/>
      <c r="W147" s="24"/>
      <c r="X147" s="24"/>
      <c r="Y147" s="24"/>
      <c r="Z147" s="24"/>
      <c r="AA147" s="88"/>
      <c r="AB147" s="88"/>
      <c r="AC147" s="88"/>
      <c r="AD147" s="88"/>
    </row>
    <row r="148" spans="1:30" s="25" customFormat="1" ht="24" hidden="1" customHeight="1" x14ac:dyDescent="0.2">
      <c r="A148" s="83"/>
      <c r="B148" s="20"/>
      <c r="C148" s="20"/>
      <c r="D148" s="20"/>
      <c r="E148" s="20"/>
      <c r="F148" s="42"/>
      <c r="G148" s="24">
        <f>SUM(G149:G151)</f>
        <v>1</v>
      </c>
      <c r="H148" s="24">
        <f t="shared" ref="H148:R148" si="68">G148+SUM(H149:H151)</f>
        <v>2</v>
      </c>
      <c r="I148" s="24">
        <f t="shared" si="68"/>
        <v>3</v>
      </c>
      <c r="J148" s="24">
        <f t="shared" si="68"/>
        <v>4</v>
      </c>
      <c r="K148" s="24">
        <f t="shared" si="68"/>
        <v>6</v>
      </c>
      <c r="L148" s="24">
        <f t="shared" si="68"/>
        <v>9</v>
      </c>
      <c r="M148" s="24">
        <f t="shared" si="68"/>
        <v>12</v>
      </c>
      <c r="N148" s="24">
        <f t="shared" si="68"/>
        <v>13</v>
      </c>
      <c r="O148" s="24">
        <f t="shared" si="68"/>
        <v>14</v>
      </c>
      <c r="P148" s="24">
        <f t="shared" si="68"/>
        <v>15</v>
      </c>
      <c r="Q148" s="24">
        <f t="shared" si="68"/>
        <v>17</v>
      </c>
      <c r="R148" s="24">
        <f t="shared" si="68"/>
        <v>19</v>
      </c>
      <c r="S148" s="22">
        <v>19</v>
      </c>
      <c r="T148" s="24"/>
      <c r="U148" s="24"/>
      <c r="V148" s="24"/>
      <c r="W148" s="24"/>
      <c r="X148" s="24"/>
      <c r="Y148" s="24"/>
      <c r="Z148" s="24"/>
      <c r="AA148" s="89"/>
      <c r="AB148" s="89"/>
      <c r="AC148" s="89"/>
      <c r="AD148" s="89"/>
    </row>
    <row r="149" spans="1:30" s="25" customFormat="1" ht="29.25" customHeight="1" x14ac:dyDescent="0.2">
      <c r="A149" s="83"/>
      <c r="B149" s="113" t="s">
        <v>181</v>
      </c>
      <c r="C149" s="114"/>
      <c r="D149" s="114"/>
      <c r="E149" s="115"/>
      <c r="F149" s="42"/>
      <c r="G149" s="69">
        <v>1</v>
      </c>
      <c r="H149" s="69">
        <v>1</v>
      </c>
      <c r="I149" s="69">
        <v>1</v>
      </c>
      <c r="J149" s="69">
        <v>1</v>
      </c>
      <c r="K149" s="69">
        <v>1</v>
      </c>
      <c r="L149" s="69">
        <v>1</v>
      </c>
      <c r="M149" s="69">
        <v>1</v>
      </c>
      <c r="N149" s="69">
        <v>1</v>
      </c>
      <c r="O149" s="69">
        <v>1</v>
      </c>
      <c r="P149" s="69">
        <v>1</v>
      </c>
      <c r="Q149" s="69">
        <v>1</v>
      </c>
      <c r="R149" s="69">
        <v>1</v>
      </c>
      <c r="S149" s="22">
        <f>SUM(G149:R149)</f>
        <v>12</v>
      </c>
      <c r="T149" s="24"/>
      <c r="U149" s="24"/>
      <c r="V149" s="24"/>
      <c r="W149" s="24"/>
      <c r="X149" s="24"/>
      <c r="Y149" s="24"/>
      <c r="Z149" s="24"/>
      <c r="AA149" s="89"/>
      <c r="AB149" s="89"/>
      <c r="AC149" s="89"/>
      <c r="AD149" s="89"/>
    </row>
    <row r="150" spans="1:30" s="25" customFormat="1" ht="29" customHeight="1" x14ac:dyDescent="0.2">
      <c r="A150" s="83"/>
      <c r="B150" s="116" t="s">
        <v>160</v>
      </c>
      <c r="C150" s="117"/>
      <c r="D150" s="117"/>
      <c r="E150" s="118"/>
      <c r="F150" s="42"/>
      <c r="G150" s="24"/>
      <c r="H150" s="24"/>
      <c r="I150" s="24"/>
      <c r="J150" s="24"/>
      <c r="K150" s="24"/>
      <c r="L150" s="69">
        <v>1</v>
      </c>
      <c r="M150" s="69">
        <v>1</v>
      </c>
      <c r="N150" s="24"/>
      <c r="O150" s="24"/>
      <c r="P150" s="24"/>
      <c r="Q150" s="69">
        <v>1</v>
      </c>
      <c r="R150" s="69">
        <v>1</v>
      </c>
      <c r="S150" s="22">
        <f>SUM(G150:R150)</f>
        <v>4</v>
      </c>
      <c r="T150" s="24"/>
      <c r="U150" s="24"/>
      <c r="V150" s="24"/>
      <c r="W150" s="24"/>
      <c r="X150" s="24"/>
      <c r="Y150" s="24"/>
      <c r="Z150" s="24"/>
      <c r="AA150" s="89"/>
      <c r="AB150" s="89"/>
      <c r="AC150" s="89"/>
      <c r="AD150" s="89"/>
    </row>
    <row r="151" spans="1:30" s="25" customFormat="1" x14ac:dyDescent="0.2">
      <c r="A151" s="83"/>
      <c r="B151" s="113" t="s">
        <v>182</v>
      </c>
      <c r="C151" s="114"/>
      <c r="D151" s="114"/>
      <c r="E151" s="115"/>
      <c r="F151" s="42"/>
      <c r="G151" s="24"/>
      <c r="H151" s="24"/>
      <c r="I151" s="24"/>
      <c r="J151" s="24"/>
      <c r="K151" s="69">
        <v>1</v>
      </c>
      <c r="L151" s="69">
        <v>1</v>
      </c>
      <c r="M151" s="69">
        <v>1</v>
      </c>
      <c r="N151" s="24"/>
      <c r="O151" s="24"/>
      <c r="P151" s="24"/>
      <c r="Q151" s="24"/>
      <c r="R151" s="24"/>
      <c r="S151" s="22">
        <f t="shared" si="63"/>
        <v>3</v>
      </c>
      <c r="T151" s="24"/>
      <c r="U151" s="24"/>
      <c r="V151" s="24"/>
      <c r="W151" s="24"/>
      <c r="X151" s="24"/>
      <c r="Y151" s="24"/>
      <c r="Z151" s="24"/>
      <c r="AA151" s="89"/>
      <c r="AB151" s="89"/>
      <c r="AC151" s="89"/>
      <c r="AD151" s="89"/>
    </row>
    <row r="152" spans="1:30" s="25" customFormat="1" ht="24.75" customHeight="1" x14ac:dyDescent="0.4">
      <c r="A152" s="83"/>
      <c r="B152" s="85" t="s">
        <v>183</v>
      </c>
      <c r="C152" s="85"/>
      <c r="D152" s="85"/>
      <c r="E152" s="85"/>
      <c r="F152" s="39"/>
      <c r="G152" s="24"/>
      <c r="H152" s="24"/>
      <c r="I152" s="24"/>
      <c r="J152" s="24"/>
      <c r="K152" s="24"/>
      <c r="L152" s="68">
        <f>(L153*100)/$S$153</f>
        <v>33.333333333333336</v>
      </c>
      <c r="M152" s="68">
        <f>(M153*100)/$S$153</f>
        <v>66.666666666666671</v>
      </c>
      <c r="N152" s="68">
        <f>(N153*100)/$S$153</f>
        <v>100</v>
      </c>
      <c r="O152" s="35">
        <v>100</v>
      </c>
      <c r="P152" s="35">
        <v>100</v>
      </c>
      <c r="Q152" s="35">
        <v>100</v>
      </c>
      <c r="R152" s="35">
        <v>100</v>
      </c>
      <c r="S152" s="22"/>
      <c r="T152" s="24"/>
      <c r="U152" s="24"/>
      <c r="V152" s="24"/>
      <c r="W152" s="24"/>
      <c r="X152" s="24"/>
      <c r="Y152" s="24"/>
      <c r="Z152" s="24"/>
      <c r="AA152" s="123"/>
      <c r="AB152" s="127"/>
      <c r="AC152" s="88"/>
      <c r="AD152" s="88"/>
    </row>
    <row r="153" spans="1:30" s="25" customFormat="1" ht="23.25" hidden="1" customHeight="1" x14ac:dyDescent="0.2">
      <c r="A153" s="83"/>
      <c r="B153" s="20"/>
      <c r="C153" s="20"/>
      <c r="D153" s="20"/>
      <c r="E153" s="20"/>
      <c r="F153" s="39"/>
      <c r="G153" s="24"/>
      <c r="H153" s="24"/>
      <c r="I153" s="24"/>
      <c r="J153" s="24"/>
      <c r="K153" s="24"/>
      <c r="L153" s="24">
        <f>SUM(L154:L155)</f>
        <v>2</v>
      </c>
      <c r="M153" s="24">
        <f>L153+SUM(M154:M155)</f>
        <v>4</v>
      </c>
      <c r="N153" s="24">
        <f>M153+SUM(N154:N155)</f>
        <v>6</v>
      </c>
      <c r="O153" s="35"/>
      <c r="P153" s="35"/>
      <c r="Q153" s="35"/>
      <c r="R153" s="35"/>
      <c r="S153" s="22">
        <v>6</v>
      </c>
      <c r="T153" s="24"/>
      <c r="U153" s="24"/>
      <c r="V153" s="24"/>
      <c r="W153" s="24"/>
      <c r="X153" s="24"/>
      <c r="Y153" s="24"/>
      <c r="Z153" s="24"/>
      <c r="AA153" s="123"/>
      <c r="AB153" s="128"/>
      <c r="AC153" s="89"/>
      <c r="AD153" s="89"/>
    </row>
    <row r="154" spans="1:30" s="25" customFormat="1" ht="23.25" customHeight="1" x14ac:dyDescent="0.2">
      <c r="A154" s="83"/>
      <c r="B154" s="116" t="s">
        <v>184</v>
      </c>
      <c r="C154" s="117"/>
      <c r="D154" s="117"/>
      <c r="E154" s="118"/>
      <c r="F154" s="42"/>
      <c r="G154" s="24"/>
      <c r="H154" s="24"/>
      <c r="I154" s="24"/>
      <c r="J154" s="24"/>
      <c r="K154" s="24"/>
      <c r="L154" s="69">
        <v>1</v>
      </c>
      <c r="M154" s="69">
        <v>1</v>
      </c>
      <c r="N154" s="69">
        <v>1</v>
      </c>
      <c r="O154" s="35"/>
      <c r="P154" s="35"/>
      <c r="Q154" s="35"/>
      <c r="R154" s="35"/>
      <c r="S154" s="22">
        <f t="shared" si="63"/>
        <v>3</v>
      </c>
      <c r="T154" s="24"/>
      <c r="U154" s="24"/>
      <c r="V154" s="24"/>
      <c r="W154" s="24"/>
      <c r="X154" s="24"/>
      <c r="Y154" s="24"/>
      <c r="Z154" s="24"/>
      <c r="AA154" s="123"/>
      <c r="AB154" s="128"/>
      <c r="AC154" s="89"/>
      <c r="AD154" s="89"/>
    </row>
    <row r="155" spans="1:30" s="25" customFormat="1" x14ac:dyDescent="0.2">
      <c r="A155" s="83"/>
      <c r="B155" s="113" t="s">
        <v>185</v>
      </c>
      <c r="C155" s="114"/>
      <c r="D155" s="114"/>
      <c r="E155" s="115"/>
      <c r="F155" s="39"/>
      <c r="G155" s="24"/>
      <c r="H155" s="24"/>
      <c r="I155" s="24"/>
      <c r="J155" s="24"/>
      <c r="K155" s="24"/>
      <c r="L155" s="69">
        <v>1</v>
      </c>
      <c r="M155" s="69">
        <v>1</v>
      </c>
      <c r="N155" s="69">
        <v>1</v>
      </c>
      <c r="O155" s="35"/>
      <c r="P155" s="35"/>
      <c r="Q155" s="35"/>
      <c r="R155" s="35"/>
      <c r="S155" s="22">
        <f t="shared" si="63"/>
        <v>3</v>
      </c>
      <c r="T155" s="24"/>
      <c r="U155" s="24"/>
      <c r="V155" s="24"/>
      <c r="W155" s="24"/>
      <c r="X155" s="24"/>
      <c r="Y155" s="24"/>
      <c r="Z155" s="24"/>
      <c r="AA155" s="123"/>
      <c r="AB155" s="128"/>
      <c r="AC155" s="89"/>
      <c r="AD155" s="89"/>
    </row>
    <row r="156" spans="1:30" s="25" customFormat="1" ht="24" customHeight="1" x14ac:dyDescent="0.4">
      <c r="A156" s="83"/>
      <c r="B156" s="85" t="s">
        <v>186</v>
      </c>
      <c r="C156" s="85"/>
      <c r="D156" s="85"/>
      <c r="E156" s="85"/>
      <c r="F156" s="39"/>
      <c r="G156" s="24"/>
      <c r="H156" s="24"/>
      <c r="I156" s="24"/>
      <c r="J156" s="24"/>
      <c r="K156" s="24"/>
      <c r="L156" s="24"/>
      <c r="M156" s="68">
        <f>(M157*100)/$S$157</f>
        <v>20</v>
      </c>
      <c r="N156" s="68">
        <f>(N157*100)/$S$157</f>
        <v>40</v>
      </c>
      <c r="O156" s="68">
        <f>(O157*100)/$S$157</f>
        <v>80</v>
      </c>
      <c r="P156" s="68">
        <f>(P157*100)/$S$157</f>
        <v>100</v>
      </c>
      <c r="Q156" s="35">
        <v>100</v>
      </c>
      <c r="R156" s="35">
        <v>100</v>
      </c>
      <c r="S156" s="22"/>
      <c r="T156" s="24"/>
      <c r="U156" s="24"/>
      <c r="V156" s="24"/>
      <c r="W156" s="24"/>
      <c r="X156" s="24"/>
      <c r="Y156" s="24"/>
      <c r="Z156" s="24"/>
      <c r="AA156" s="123"/>
      <c r="AB156" s="127"/>
      <c r="AC156" s="127"/>
      <c r="AD156" s="88"/>
    </row>
    <row r="157" spans="1:30" s="25" customFormat="1" ht="23.25" hidden="1" customHeight="1" x14ac:dyDescent="0.2">
      <c r="A157" s="83"/>
      <c r="B157" s="20"/>
      <c r="C157" s="20"/>
      <c r="D157" s="20"/>
      <c r="E157" s="20"/>
      <c r="F157" s="39"/>
      <c r="G157" s="24"/>
      <c r="H157" s="24"/>
      <c r="I157" s="24"/>
      <c r="J157" s="24"/>
      <c r="K157" s="24"/>
      <c r="L157" s="24"/>
      <c r="M157" s="40">
        <f>SUM(M158:M159)</f>
        <v>1</v>
      </c>
      <c r="N157" s="40">
        <f>M157+SUM(N158:N159)</f>
        <v>2</v>
      </c>
      <c r="O157" s="40">
        <f>N157+SUM(O158:O159)</f>
        <v>4</v>
      </c>
      <c r="P157" s="40">
        <f>O157+SUM(P158:P159)</f>
        <v>5</v>
      </c>
      <c r="Q157" s="35"/>
      <c r="R157" s="35"/>
      <c r="S157" s="22">
        <v>5</v>
      </c>
      <c r="T157" s="24"/>
      <c r="U157" s="24"/>
      <c r="V157" s="24"/>
      <c r="W157" s="24"/>
      <c r="X157" s="24"/>
      <c r="Y157" s="24"/>
      <c r="Z157" s="24"/>
      <c r="AA157" s="123"/>
      <c r="AB157" s="128"/>
      <c r="AC157" s="128"/>
      <c r="AD157" s="89"/>
    </row>
    <row r="158" spans="1:30" s="25" customFormat="1" x14ac:dyDescent="0.2">
      <c r="A158" s="83"/>
      <c r="B158" s="116" t="s">
        <v>187</v>
      </c>
      <c r="C158" s="117"/>
      <c r="D158" s="117"/>
      <c r="E158" s="118"/>
      <c r="F158" s="39"/>
      <c r="G158" s="24"/>
      <c r="H158" s="24"/>
      <c r="I158" s="24"/>
      <c r="J158" s="24"/>
      <c r="K158" s="24"/>
      <c r="L158" s="24"/>
      <c r="M158" s="69">
        <v>1</v>
      </c>
      <c r="N158" s="69">
        <v>1</v>
      </c>
      <c r="O158" s="69">
        <v>1</v>
      </c>
      <c r="P158" s="24"/>
      <c r="Q158" s="35"/>
      <c r="R158" s="35"/>
      <c r="S158" s="22">
        <f t="shared" si="63"/>
        <v>3</v>
      </c>
      <c r="T158" s="24"/>
      <c r="U158" s="24"/>
      <c r="V158" s="24"/>
      <c r="W158" s="24"/>
      <c r="X158" s="24"/>
      <c r="Y158" s="24"/>
      <c r="Z158" s="24"/>
      <c r="AA158" s="123"/>
      <c r="AB158" s="128"/>
      <c r="AC158" s="128"/>
      <c r="AD158" s="89"/>
    </row>
    <row r="159" spans="1:30" s="25" customFormat="1" x14ac:dyDescent="0.2">
      <c r="A159" s="83"/>
      <c r="B159" s="116" t="s">
        <v>188</v>
      </c>
      <c r="C159" s="117"/>
      <c r="D159" s="117"/>
      <c r="E159" s="118"/>
      <c r="F159" s="39"/>
      <c r="G159" s="24"/>
      <c r="H159" s="24"/>
      <c r="I159" s="24"/>
      <c r="J159" s="24"/>
      <c r="K159" s="24"/>
      <c r="L159" s="24"/>
      <c r="M159" s="24"/>
      <c r="N159" s="24"/>
      <c r="O159" s="69">
        <v>1</v>
      </c>
      <c r="P159" s="69">
        <v>1</v>
      </c>
      <c r="Q159" s="35"/>
      <c r="R159" s="35"/>
      <c r="S159" s="22">
        <f t="shared" si="63"/>
        <v>2</v>
      </c>
      <c r="T159" s="24"/>
      <c r="U159" s="24"/>
      <c r="V159" s="24"/>
      <c r="W159" s="24"/>
      <c r="X159" s="24"/>
      <c r="Y159" s="24"/>
      <c r="Z159" s="24"/>
      <c r="AA159" s="123"/>
      <c r="AB159" s="128"/>
      <c r="AC159" s="128"/>
      <c r="AD159" s="89"/>
    </row>
    <row r="160" spans="1:30" s="25" customFormat="1" ht="29.25" customHeight="1" x14ac:dyDescent="0.4">
      <c r="A160" s="83"/>
      <c r="B160" s="85" t="s">
        <v>189</v>
      </c>
      <c r="C160" s="85"/>
      <c r="D160" s="85"/>
      <c r="E160" s="85"/>
      <c r="F160" s="39" t="s">
        <v>190</v>
      </c>
      <c r="G160" s="24"/>
      <c r="H160" s="24"/>
      <c r="I160" s="24"/>
      <c r="J160" s="24"/>
      <c r="K160" s="24"/>
      <c r="L160" s="24"/>
      <c r="M160" s="24"/>
      <c r="N160" s="68">
        <f>(N161*100)/$S$161</f>
        <v>14.285714285714286</v>
      </c>
      <c r="O160" s="68">
        <f>(O161*100)/$S$161</f>
        <v>42.857142857142854</v>
      </c>
      <c r="P160" s="68">
        <f>(P161*100)/$S$161</f>
        <v>71.428571428571431</v>
      </c>
      <c r="Q160" s="68">
        <f>(Q161*100)/$S$161</f>
        <v>100</v>
      </c>
      <c r="R160" s="35">
        <v>100</v>
      </c>
      <c r="S160" s="22"/>
      <c r="T160" s="24"/>
      <c r="U160" s="24"/>
      <c r="V160" s="24"/>
      <c r="W160" s="24"/>
      <c r="X160" s="24"/>
      <c r="Y160" s="24"/>
      <c r="Z160" s="24"/>
      <c r="AA160" s="123"/>
      <c r="AB160" s="123"/>
      <c r="AC160" s="88"/>
      <c r="AD160" s="88"/>
    </row>
    <row r="161" spans="1:30" s="25" customFormat="1" ht="23.25" hidden="1" customHeight="1" x14ac:dyDescent="0.2">
      <c r="A161" s="83"/>
      <c r="B161" s="20"/>
      <c r="C161" s="20"/>
      <c r="D161" s="20"/>
      <c r="E161" s="20"/>
      <c r="F161" s="39"/>
      <c r="G161" s="24"/>
      <c r="H161" s="24"/>
      <c r="I161" s="24"/>
      <c r="J161" s="24"/>
      <c r="K161" s="24"/>
      <c r="L161" s="24"/>
      <c r="M161" s="24"/>
      <c r="N161" s="40">
        <f>SUM(N162:N163)</f>
        <v>1</v>
      </c>
      <c r="O161" s="40">
        <f>N161+SUM(O162:O163)</f>
        <v>3</v>
      </c>
      <c r="P161" s="40">
        <f>O161+SUM(P162:P163)</f>
        <v>5</v>
      </c>
      <c r="Q161" s="40">
        <f>P161+SUM(Q162:Q163)</f>
        <v>7</v>
      </c>
      <c r="R161" s="24"/>
      <c r="S161" s="22">
        <v>7</v>
      </c>
      <c r="T161" s="24"/>
      <c r="U161" s="24"/>
      <c r="V161" s="24"/>
      <c r="W161" s="24"/>
      <c r="X161" s="24"/>
      <c r="Y161" s="24"/>
      <c r="Z161" s="24"/>
      <c r="AA161" s="123"/>
      <c r="AB161" s="123"/>
      <c r="AC161" s="89"/>
      <c r="AD161" s="89"/>
    </row>
    <row r="162" spans="1:30" s="25" customFormat="1" x14ac:dyDescent="0.2">
      <c r="A162" s="83"/>
      <c r="B162" s="116" t="s">
        <v>191</v>
      </c>
      <c r="C162" s="117"/>
      <c r="D162" s="117"/>
      <c r="E162" s="118"/>
      <c r="F162" s="39"/>
      <c r="G162" s="24"/>
      <c r="H162" s="24"/>
      <c r="I162" s="24"/>
      <c r="J162" s="24"/>
      <c r="K162" s="24"/>
      <c r="L162" s="24"/>
      <c r="M162" s="24"/>
      <c r="N162" s="24"/>
      <c r="O162" s="69">
        <v>1</v>
      </c>
      <c r="P162" s="69">
        <v>1</v>
      </c>
      <c r="Q162" s="69">
        <v>1</v>
      </c>
      <c r="R162" s="24"/>
      <c r="S162" s="22">
        <f t="shared" si="63"/>
        <v>3</v>
      </c>
      <c r="T162" s="24"/>
      <c r="U162" s="24"/>
      <c r="V162" s="24"/>
      <c r="W162" s="24"/>
      <c r="X162" s="24"/>
      <c r="Y162" s="24"/>
      <c r="Z162" s="24"/>
      <c r="AA162" s="123"/>
      <c r="AB162" s="123"/>
      <c r="AC162" s="89"/>
      <c r="AD162" s="89"/>
    </row>
    <row r="163" spans="1:30" s="25" customFormat="1" x14ac:dyDescent="0.2">
      <c r="A163" s="83"/>
      <c r="B163" s="113" t="s">
        <v>192</v>
      </c>
      <c r="C163" s="114"/>
      <c r="D163" s="114"/>
      <c r="E163" s="115"/>
      <c r="F163" s="39"/>
      <c r="G163" s="24"/>
      <c r="H163" s="24"/>
      <c r="I163" s="24"/>
      <c r="J163" s="24"/>
      <c r="K163" s="24"/>
      <c r="L163" s="24"/>
      <c r="M163" s="24"/>
      <c r="N163" s="69">
        <v>1</v>
      </c>
      <c r="O163" s="69">
        <v>1</v>
      </c>
      <c r="P163" s="69">
        <v>1</v>
      </c>
      <c r="Q163" s="69">
        <v>1</v>
      </c>
      <c r="R163" s="24"/>
      <c r="S163" s="22">
        <f t="shared" si="63"/>
        <v>4</v>
      </c>
      <c r="T163" s="24"/>
      <c r="U163" s="24"/>
      <c r="V163" s="24"/>
      <c r="W163" s="24"/>
      <c r="X163" s="24"/>
      <c r="Y163" s="24"/>
      <c r="Z163" s="24"/>
      <c r="AA163" s="123"/>
      <c r="AB163" s="123"/>
      <c r="AC163" s="89"/>
      <c r="AD163" s="89"/>
    </row>
    <row r="164" spans="1:30" s="25" customFormat="1" ht="24.75" customHeight="1" x14ac:dyDescent="0.4">
      <c r="A164" s="83"/>
      <c r="B164" s="85" t="s">
        <v>193</v>
      </c>
      <c r="C164" s="85"/>
      <c r="D164" s="85"/>
      <c r="E164" s="85"/>
      <c r="F164" s="43"/>
      <c r="G164" s="24"/>
      <c r="H164" s="24"/>
      <c r="I164" s="24"/>
      <c r="J164" s="24"/>
      <c r="K164" s="24"/>
      <c r="L164" s="24"/>
      <c r="M164" s="24"/>
      <c r="N164" s="68">
        <f>(N165*100)/$S$165</f>
        <v>25</v>
      </c>
      <c r="O164" s="68">
        <f>(O165*100)/$S$165</f>
        <v>50</v>
      </c>
      <c r="P164" s="68">
        <f>(P165*100)/$S$165</f>
        <v>75</v>
      </c>
      <c r="Q164" s="68">
        <f>(Q165*100)/$S$165</f>
        <v>100</v>
      </c>
      <c r="R164" s="35">
        <v>100</v>
      </c>
      <c r="S164" s="22"/>
      <c r="T164" s="24"/>
      <c r="U164" s="24"/>
      <c r="V164" s="24"/>
      <c r="W164" s="24"/>
      <c r="X164" s="24"/>
      <c r="Y164" s="24"/>
      <c r="Z164" s="24"/>
      <c r="AA164" s="123"/>
      <c r="AB164" s="123"/>
      <c r="AC164" s="127"/>
      <c r="AD164" s="88"/>
    </row>
    <row r="165" spans="1:30" s="25" customFormat="1" ht="23.25" hidden="1" customHeight="1" x14ac:dyDescent="0.2">
      <c r="A165" s="83"/>
      <c r="B165" s="20"/>
      <c r="C165" s="20"/>
      <c r="D165" s="20"/>
      <c r="E165" s="20"/>
      <c r="F165" s="43"/>
      <c r="G165" s="24"/>
      <c r="H165" s="24"/>
      <c r="I165" s="24"/>
      <c r="J165" s="24"/>
      <c r="K165" s="24"/>
      <c r="L165" s="24"/>
      <c r="M165" s="24"/>
      <c r="N165" s="40">
        <f>SUM(N166)</f>
        <v>1</v>
      </c>
      <c r="O165" s="40">
        <f>N165+SUM(O166)</f>
        <v>2</v>
      </c>
      <c r="P165" s="40">
        <f>O165+SUM(P166)</f>
        <v>3</v>
      </c>
      <c r="Q165" s="40">
        <f>P165+SUM(Q166)</f>
        <v>4</v>
      </c>
      <c r="R165" s="24"/>
      <c r="S165" s="22">
        <v>4</v>
      </c>
      <c r="T165" s="24"/>
      <c r="U165" s="24"/>
      <c r="V165" s="24"/>
      <c r="W165" s="24"/>
      <c r="X165" s="24"/>
      <c r="Y165" s="24"/>
      <c r="Z165" s="24"/>
      <c r="AA165" s="123"/>
      <c r="AB165" s="123"/>
      <c r="AC165" s="128"/>
      <c r="AD165" s="89"/>
    </row>
    <row r="166" spans="1:30" s="25" customFormat="1" ht="29" customHeight="1" x14ac:dyDescent="0.2">
      <c r="A166" s="83"/>
      <c r="B166" s="116" t="s">
        <v>194</v>
      </c>
      <c r="C166" s="117"/>
      <c r="D166" s="117"/>
      <c r="E166" s="118"/>
      <c r="F166" s="43"/>
      <c r="G166" s="24"/>
      <c r="H166" s="24"/>
      <c r="I166" s="24"/>
      <c r="J166" s="24"/>
      <c r="K166" s="24"/>
      <c r="L166" s="24"/>
      <c r="M166" s="24"/>
      <c r="N166" s="69">
        <v>1</v>
      </c>
      <c r="O166" s="69">
        <v>1</v>
      </c>
      <c r="P166" s="69">
        <v>1</v>
      </c>
      <c r="Q166" s="69">
        <v>1</v>
      </c>
      <c r="R166" s="24"/>
      <c r="S166" s="22">
        <f t="shared" si="63"/>
        <v>4</v>
      </c>
      <c r="T166" s="24"/>
      <c r="U166" s="24"/>
      <c r="V166" s="24"/>
      <c r="W166" s="24"/>
      <c r="X166" s="24"/>
      <c r="Y166" s="24"/>
      <c r="Z166" s="24"/>
      <c r="AA166" s="123"/>
      <c r="AB166" s="123"/>
      <c r="AC166" s="132"/>
      <c r="AD166" s="133"/>
    </row>
    <row r="167" spans="1:30" s="25" customFormat="1" ht="25.5" customHeight="1" x14ac:dyDescent="0.2">
      <c r="A167" s="83"/>
      <c r="B167" s="85" t="s">
        <v>195</v>
      </c>
      <c r="C167" s="85"/>
      <c r="D167" s="85"/>
      <c r="E167" s="85"/>
      <c r="F167" s="43"/>
      <c r="G167" s="67">
        <f t="shared" ref="G167:R167" si="69">(G168*100)/$S$168</f>
        <v>7.1428571428571432</v>
      </c>
      <c r="H167" s="67">
        <f t="shared" si="69"/>
        <v>14.285714285714286</v>
      </c>
      <c r="I167" s="67">
        <f t="shared" si="69"/>
        <v>21.428571428571427</v>
      </c>
      <c r="J167" s="67">
        <f t="shared" si="69"/>
        <v>32.142857142857146</v>
      </c>
      <c r="K167" s="67">
        <f t="shared" si="69"/>
        <v>39.285714285714285</v>
      </c>
      <c r="L167" s="67">
        <f t="shared" si="69"/>
        <v>46.428571428571431</v>
      </c>
      <c r="M167" s="67">
        <f t="shared" si="69"/>
        <v>57.142857142857146</v>
      </c>
      <c r="N167" s="67">
        <f t="shared" si="69"/>
        <v>64.285714285714292</v>
      </c>
      <c r="O167" s="67">
        <f t="shared" si="69"/>
        <v>71.428571428571431</v>
      </c>
      <c r="P167" s="67">
        <f t="shared" si="69"/>
        <v>82.142857142857139</v>
      </c>
      <c r="Q167" s="67">
        <f t="shared" si="69"/>
        <v>89.285714285714292</v>
      </c>
      <c r="R167" s="67">
        <f t="shared" si="69"/>
        <v>100</v>
      </c>
      <c r="S167" s="22"/>
      <c r="T167" s="24"/>
      <c r="U167" s="24"/>
      <c r="V167" s="24"/>
      <c r="W167" s="24"/>
      <c r="X167" s="24"/>
      <c r="Y167" s="24"/>
      <c r="Z167" s="24"/>
      <c r="AA167" s="88" t="s">
        <v>196</v>
      </c>
      <c r="AB167" s="88"/>
      <c r="AC167" s="88"/>
      <c r="AD167" s="88"/>
    </row>
    <row r="168" spans="1:30" s="25" customFormat="1" ht="23.25" hidden="1" customHeight="1" x14ac:dyDescent="0.2">
      <c r="A168" s="83"/>
      <c r="B168" s="20"/>
      <c r="C168" s="20"/>
      <c r="D168" s="20"/>
      <c r="E168" s="20"/>
      <c r="F168" s="43"/>
      <c r="G168" s="24">
        <f>SUM(G169:G171)</f>
        <v>2</v>
      </c>
      <c r="H168" s="24">
        <f t="shared" ref="H168:R168" si="70">G168+SUM(H169:H171)</f>
        <v>4</v>
      </c>
      <c r="I168" s="24">
        <f t="shared" si="70"/>
        <v>6</v>
      </c>
      <c r="J168" s="24">
        <f t="shared" si="70"/>
        <v>9</v>
      </c>
      <c r="K168" s="24">
        <f t="shared" si="70"/>
        <v>11</v>
      </c>
      <c r="L168" s="24">
        <f t="shared" si="70"/>
        <v>13</v>
      </c>
      <c r="M168" s="24">
        <f t="shared" si="70"/>
        <v>16</v>
      </c>
      <c r="N168" s="24">
        <f t="shared" si="70"/>
        <v>18</v>
      </c>
      <c r="O168" s="24">
        <f t="shared" si="70"/>
        <v>20</v>
      </c>
      <c r="P168" s="24">
        <f t="shared" si="70"/>
        <v>23</v>
      </c>
      <c r="Q168" s="24">
        <f t="shared" si="70"/>
        <v>25</v>
      </c>
      <c r="R168" s="24">
        <f t="shared" si="70"/>
        <v>28</v>
      </c>
      <c r="S168" s="22">
        <v>28</v>
      </c>
      <c r="T168" s="24"/>
      <c r="U168" s="24"/>
      <c r="V168" s="24"/>
      <c r="W168" s="24"/>
      <c r="X168" s="24"/>
      <c r="Y168" s="24"/>
      <c r="Z168" s="24"/>
      <c r="AA168" s="89"/>
      <c r="AB168" s="89"/>
      <c r="AC168" s="89"/>
      <c r="AD168" s="89"/>
    </row>
    <row r="169" spans="1:30" s="25" customFormat="1" ht="27" customHeight="1" x14ac:dyDescent="0.2">
      <c r="A169" s="83"/>
      <c r="B169" s="124" t="s">
        <v>197</v>
      </c>
      <c r="C169" s="125"/>
      <c r="D169" s="125"/>
      <c r="E169" s="126"/>
      <c r="F169" s="43"/>
      <c r="G169" s="69">
        <v>1</v>
      </c>
      <c r="H169" s="69">
        <v>1</v>
      </c>
      <c r="I169" s="69">
        <v>1</v>
      </c>
      <c r="J169" s="69">
        <v>1</v>
      </c>
      <c r="K169" s="69">
        <v>1</v>
      </c>
      <c r="L169" s="69">
        <v>1</v>
      </c>
      <c r="M169" s="69">
        <v>1</v>
      </c>
      <c r="N169" s="69">
        <v>1</v>
      </c>
      <c r="O169" s="69">
        <v>1</v>
      </c>
      <c r="P169" s="69">
        <v>1</v>
      </c>
      <c r="Q169" s="69">
        <v>1</v>
      </c>
      <c r="R169" s="69">
        <v>1</v>
      </c>
      <c r="S169" s="22">
        <f t="shared" si="63"/>
        <v>12</v>
      </c>
      <c r="T169" s="24"/>
      <c r="U169" s="24"/>
      <c r="V169" s="24"/>
      <c r="W169" s="24"/>
      <c r="X169" s="24"/>
      <c r="Y169" s="24"/>
      <c r="Z169" s="24"/>
      <c r="AA169" s="89"/>
      <c r="AB169" s="89"/>
      <c r="AC169" s="89"/>
      <c r="AD169" s="89"/>
    </row>
    <row r="170" spans="1:30" s="25" customFormat="1" ht="24" customHeight="1" x14ac:dyDescent="0.2">
      <c r="A170" s="83"/>
      <c r="B170" s="129" t="s">
        <v>198</v>
      </c>
      <c r="C170" s="130"/>
      <c r="D170" s="130"/>
      <c r="E170" s="131"/>
      <c r="F170" s="43"/>
      <c r="G170" s="69">
        <v>1</v>
      </c>
      <c r="H170" s="69">
        <v>1</v>
      </c>
      <c r="I170" s="69">
        <v>1</v>
      </c>
      <c r="J170" s="69">
        <v>1</v>
      </c>
      <c r="K170" s="69">
        <v>1</v>
      </c>
      <c r="L170" s="69">
        <v>1</v>
      </c>
      <c r="M170" s="69">
        <v>1</v>
      </c>
      <c r="N170" s="69">
        <v>1</v>
      </c>
      <c r="O170" s="69">
        <v>1</v>
      </c>
      <c r="P170" s="69">
        <v>1</v>
      </c>
      <c r="Q170" s="69">
        <v>1</v>
      </c>
      <c r="R170" s="69">
        <v>1</v>
      </c>
      <c r="S170" s="22">
        <f t="shared" si="63"/>
        <v>12</v>
      </c>
      <c r="T170" s="24"/>
      <c r="U170" s="24"/>
      <c r="V170" s="24"/>
      <c r="W170" s="24"/>
      <c r="X170" s="24"/>
      <c r="Y170" s="24"/>
      <c r="Z170" s="24"/>
      <c r="AA170" s="89"/>
      <c r="AB170" s="89"/>
      <c r="AC170" s="89"/>
      <c r="AD170" s="89"/>
    </row>
    <row r="171" spans="1:30" s="25" customFormat="1" ht="26" customHeight="1" x14ac:dyDescent="0.2">
      <c r="A171" s="83"/>
      <c r="B171" s="124" t="s">
        <v>199</v>
      </c>
      <c r="C171" s="125"/>
      <c r="D171" s="125"/>
      <c r="E171" s="126"/>
      <c r="F171" s="43"/>
      <c r="G171" s="24"/>
      <c r="H171" s="24"/>
      <c r="I171" s="24"/>
      <c r="J171" s="69">
        <v>1</v>
      </c>
      <c r="K171" s="24"/>
      <c r="L171" s="24"/>
      <c r="M171" s="69">
        <v>1</v>
      </c>
      <c r="N171" s="24"/>
      <c r="O171" s="24"/>
      <c r="P171" s="69">
        <v>1</v>
      </c>
      <c r="Q171" s="24"/>
      <c r="R171" s="69">
        <v>1</v>
      </c>
      <c r="S171" s="22">
        <f t="shared" si="63"/>
        <v>4</v>
      </c>
      <c r="T171" s="24"/>
      <c r="U171" s="24"/>
      <c r="V171" s="24"/>
      <c r="W171" s="24"/>
      <c r="X171" s="24"/>
      <c r="Y171" s="24"/>
      <c r="Z171" s="24"/>
      <c r="AA171" s="89"/>
      <c r="AB171" s="89"/>
      <c r="AC171" s="89"/>
      <c r="AD171" s="89"/>
    </row>
    <row r="172" spans="1:30" s="25" customFormat="1" ht="30" customHeight="1" x14ac:dyDescent="0.4">
      <c r="A172" s="83"/>
      <c r="B172" s="104" t="s">
        <v>200</v>
      </c>
      <c r="C172" s="105"/>
      <c r="D172" s="105"/>
      <c r="E172" s="106"/>
      <c r="F172" s="24" t="s">
        <v>201</v>
      </c>
      <c r="G172" s="68">
        <f t="shared" ref="G172:R172" si="71">(G173*100)/$S$173</f>
        <v>8.3333333333333339</v>
      </c>
      <c r="H172" s="68">
        <f t="shared" si="71"/>
        <v>16.666666666666668</v>
      </c>
      <c r="I172" s="68">
        <f t="shared" si="71"/>
        <v>25</v>
      </c>
      <c r="J172" s="68">
        <f t="shared" si="71"/>
        <v>33.333333333333336</v>
      </c>
      <c r="K172" s="68">
        <f t="shared" si="71"/>
        <v>41.666666666666664</v>
      </c>
      <c r="L172" s="68">
        <f t="shared" si="71"/>
        <v>50</v>
      </c>
      <c r="M172" s="68">
        <f t="shared" si="71"/>
        <v>58.333333333333336</v>
      </c>
      <c r="N172" s="68">
        <f t="shared" si="71"/>
        <v>66.666666666666671</v>
      </c>
      <c r="O172" s="68">
        <f t="shared" si="71"/>
        <v>75</v>
      </c>
      <c r="P172" s="68">
        <f t="shared" si="71"/>
        <v>83.333333333333329</v>
      </c>
      <c r="Q172" s="68">
        <f t="shared" si="71"/>
        <v>91.666666666666671</v>
      </c>
      <c r="R172" s="68">
        <f t="shared" si="71"/>
        <v>100</v>
      </c>
      <c r="S172" s="22"/>
      <c r="T172" s="24"/>
      <c r="U172" s="24"/>
      <c r="V172" s="24"/>
      <c r="W172" s="24"/>
      <c r="X172" s="24"/>
      <c r="Y172" s="24"/>
      <c r="Z172" s="24"/>
      <c r="AA172" s="88"/>
      <c r="AB172" s="88"/>
      <c r="AC172" s="88"/>
      <c r="AD172" s="88"/>
    </row>
    <row r="173" spans="1:30" s="25" customFormat="1" ht="23.25" hidden="1" customHeight="1" x14ac:dyDescent="0.2">
      <c r="A173" s="83"/>
      <c r="B173" s="50"/>
      <c r="C173" s="50"/>
      <c r="D173" s="50"/>
      <c r="E173" s="50"/>
      <c r="F173" s="24"/>
      <c r="G173" s="24">
        <f>SUM(G174)</f>
        <v>1</v>
      </c>
      <c r="H173" s="24">
        <f t="shared" ref="H173:R173" si="72">G173+SUM(H174)</f>
        <v>2</v>
      </c>
      <c r="I173" s="24">
        <f t="shared" si="72"/>
        <v>3</v>
      </c>
      <c r="J173" s="24">
        <f t="shared" si="72"/>
        <v>4</v>
      </c>
      <c r="K173" s="24">
        <f t="shared" si="72"/>
        <v>5</v>
      </c>
      <c r="L173" s="24">
        <f t="shared" si="72"/>
        <v>6</v>
      </c>
      <c r="M173" s="24">
        <f t="shared" si="72"/>
        <v>7</v>
      </c>
      <c r="N173" s="24">
        <f t="shared" si="72"/>
        <v>8</v>
      </c>
      <c r="O173" s="24">
        <f t="shared" si="72"/>
        <v>9</v>
      </c>
      <c r="P173" s="24">
        <f t="shared" si="72"/>
        <v>10</v>
      </c>
      <c r="Q173" s="24">
        <f t="shared" si="72"/>
        <v>11</v>
      </c>
      <c r="R173" s="24">
        <f t="shared" si="72"/>
        <v>12</v>
      </c>
      <c r="S173" s="22">
        <v>12</v>
      </c>
      <c r="T173" s="24"/>
      <c r="U173" s="24"/>
      <c r="V173" s="24"/>
      <c r="W173" s="24"/>
      <c r="X173" s="24"/>
      <c r="Y173" s="24"/>
      <c r="Z173" s="24"/>
      <c r="AA173" s="89"/>
      <c r="AB173" s="89"/>
      <c r="AC173" s="89"/>
      <c r="AD173" s="89"/>
    </row>
    <row r="174" spans="1:30" s="25" customFormat="1" ht="27" customHeight="1" x14ac:dyDescent="0.2">
      <c r="A174" s="83"/>
      <c r="B174" s="124" t="s">
        <v>202</v>
      </c>
      <c r="C174" s="125"/>
      <c r="D174" s="125"/>
      <c r="E174" s="126"/>
      <c r="F174" s="24"/>
      <c r="G174" s="69">
        <v>1</v>
      </c>
      <c r="H174" s="69">
        <v>1</v>
      </c>
      <c r="I174" s="69">
        <v>1</v>
      </c>
      <c r="J174" s="69">
        <v>1</v>
      </c>
      <c r="K174" s="69">
        <v>1</v>
      </c>
      <c r="L174" s="69">
        <v>1</v>
      </c>
      <c r="M174" s="69">
        <v>1</v>
      </c>
      <c r="N174" s="69">
        <v>1</v>
      </c>
      <c r="O174" s="69">
        <v>1</v>
      </c>
      <c r="P174" s="69">
        <v>1</v>
      </c>
      <c r="Q174" s="69">
        <v>1</v>
      </c>
      <c r="R174" s="69">
        <v>1</v>
      </c>
      <c r="S174" s="22">
        <f t="shared" si="63"/>
        <v>12</v>
      </c>
      <c r="T174" s="24"/>
      <c r="U174" s="24"/>
      <c r="V174" s="24"/>
      <c r="W174" s="24"/>
      <c r="X174" s="24"/>
      <c r="Y174" s="24"/>
      <c r="Z174" s="24"/>
      <c r="AA174" s="89"/>
      <c r="AB174" s="89"/>
      <c r="AC174" s="89"/>
      <c r="AD174" s="89"/>
    </row>
    <row r="175" spans="1:30" s="25" customFormat="1" ht="29.25" customHeight="1" x14ac:dyDescent="0.4">
      <c r="A175" s="83"/>
      <c r="B175" s="122" t="s">
        <v>203</v>
      </c>
      <c r="C175" s="122"/>
      <c r="D175" s="122"/>
      <c r="E175" s="122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68">
        <f>(P176*100)/$S$176</f>
        <v>42.857142857142854</v>
      </c>
      <c r="Q175" s="68">
        <f>(Q176*100)/$S$176</f>
        <v>85.714285714285708</v>
      </c>
      <c r="R175" s="68">
        <f>(R176*100)/$S$176</f>
        <v>142.85714285714286</v>
      </c>
      <c r="S175" s="22"/>
      <c r="T175" s="24"/>
      <c r="U175" s="24"/>
      <c r="V175" s="24"/>
      <c r="W175" s="24"/>
      <c r="X175" s="24"/>
      <c r="Y175" s="24"/>
      <c r="Z175" s="24"/>
      <c r="AA175" s="123"/>
      <c r="AB175" s="123"/>
      <c r="AC175" s="123"/>
      <c r="AD175" s="88"/>
    </row>
    <row r="176" spans="1:30" s="25" customFormat="1" ht="38.25" hidden="1" customHeight="1" x14ac:dyDescent="0.2">
      <c r="A176" s="83"/>
      <c r="B176" s="20"/>
      <c r="C176" s="20"/>
      <c r="D176" s="20"/>
      <c r="E176" s="20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>
        <f>SUM(P177:P180)</f>
        <v>3</v>
      </c>
      <c r="Q176" s="24">
        <f>P176+SUM(Q177:Q180)</f>
        <v>6</v>
      </c>
      <c r="R176" s="24">
        <f>Q176+SUM(R177:R180)</f>
        <v>10</v>
      </c>
      <c r="S176" s="22">
        <v>7</v>
      </c>
      <c r="T176" s="24"/>
      <c r="U176" s="24"/>
      <c r="V176" s="24"/>
      <c r="W176" s="24"/>
      <c r="X176" s="24"/>
      <c r="Y176" s="24"/>
      <c r="Z176" s="24"/>
      <c r="AA176" s="123"/>
      <c r="AB176" s="123"/>
      <c r="AC176" s="123"/>
      <c r="AD176" s="89"/>
    </row>
    <row r="177" spans="1:30" s="25" customFormat="1" ht="29" customHeight="1" x14ac:dyDescent="0.2">
      <c r="A177" s="83"/>
      <c r="B177" s="116" t="s">
        <v>204</v>
      </c>
      <c r="C177" s="117"/>
      <c r="D177" s="117"/>
      <c r="E177" s="118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69">
        <v>1</v>
      </c>
      <c r="Q177" s="69">
        <v>1</v>
      </c>
      <c r="R177" s="69">
        <v>1</v>
      </c>
      <c r="S177" s="22">
        <f t="shared" si="63"/>
        <v>3</v>
      </c>
      <c r="T177" s="24"/>
      <c r="U177" s="24"/>
      <c r="V177" s="24"/>
      <c r="W177" s="24"/>
      <c r="X177" s="24"/>
      <c r="Y177" s="24"/>
      <c r="Z177" s="24"/>
      <c r="AA177" s="123"/>
      <c r="AB177" s="123"/>
      <c r="AC177" s="123"/>
      <c r="AD177" s="89"/>
    </row>
    <row r="178" spans="1:30" s="25" customFormat="1" ht="31" customHeight="1" x14ac:dyDescent="0.2">
      <c r="A178" s="83"/>
      <c r="B178" s="113" t="s">
        <v>205</v>
      </c>
      <c r="C178" s="114"/>
      <c r="D178" s="114"/>
      <c r="E178" s="115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69">
        <v>1</v>
      </c>
      <c r="Q178" s="69">
        <v>1</v>
      </c>
      <c r="R178" s="69">
        <v>1</v>
      </c>
      <c r="S178" s="22">
        <f t="shared" si="63"/>
        <v>3</v>
      </c>
      <c r="T178" s="24"/>
      <c r="U178" s="24"/>
      <c r="V178" s="24"/>
      <c r="W178" s="24"/>
      <c r="X178" s="24"/>
      <c r="Y178" s="24"/>
      <c r="Z178" s="24"/>
      <c r="AA178" s="123"/>
      <c r="AB178" s="123"/>
      <c r="AC178" s="123"/>
      <c r="AD178" s="89"/>
    </row>
    <row r="179" spans="1:30" s="25" customFormat="1" ht="31" customHeight="1" x14ac:dyDescent="0.2">
      <c r="A179" s="83"/>
      <c r="B179" s="72" t="s">
        <v>206</v>
      </c>
      <c r="C179" s="62"/>
      <c r="D179" s="62"/>
      <c r="E179" s="6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69">
        <v>1</v>
      </c>
      <c r="Q179" s="69">
        <v>1</v>
      </c>
      <c r="R179" s="69">
        <v>1</v>
      </c>
      <c r="S179" s="22">
        <f t="shared" si="63"/>
        <v>3</v>
      </c>
      <c r="T179" s="24"/>
      <c r="U179" s="24"/>
      <c r="V179" s="24"/>
      <c r="W179" s="24"/>
      <c r="X179" s="24"/>
      <c r="Y179" s="24"/>
      <c r="Z179" s="24"/>
      <c r="AA179" s="123"/>
      <c r="AB179" s="123"/>
      <c r="AC179" s="123"/>
      <c r="AD179" s="89"/>
    </row>
    <row r="180" spans="1:30" s="25" customFormat="1" ht="27" customHeight="1" x14ac:dyDescent="0.2">
      <c r="A180" s="84"/>
      <c r="B180" s="116" t="s">
        <v>207</v>
      </c>
      <c r="C180" s="117"/>
      <c r="D180" s="117"/>
      <c r="E180" s="118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69">
        <v>1</v>
      </c>
      <c r="S180" s="22">
        <f t="shared" si="63"/>
        <v>1</v>
      </c>
      <c r="T180" s="24"/>
      <c r="U180" s="24"/>
      <c r="V180" s="24"/>
      <c r="W180" s="24"/>
      <c r="X180" s="24"/>
      <c r="Y180" s="24"/>
      <c r="Z180" s="24"/>
      <c r="AA180" s="123"/>
      <c r="AB180" s="123"/>
      <c r="AC180" s="123"/>
      <c r="AD180" s="89"/>
    </row>
    <row r="181" spans="1:30" s="31" customFormat="1" ht="125" x14ac:dyDescent="0.2">
      <c r="A181" s="12">
        <v>2.5</v>
      </c>
      <c r="B181" s="48" t="s">
        <v>208</v>
      </c>
      <c r="C181" s="26" t="s">
        <v>209</v>
      </c>
      <c r="D181" s="26" t="s">
        <v>210</v>
      </c>
      <c r="E181" s="64" t="s">
        <v>211</v>
      </c>
      <c r="F181" s="26"/>
      <c r="G181" s="44">
        <f>(G182+G189+G195+G202+G208)*100/$S$181</f>
        <v>1.978494623655914</v>
      </c>
      <c r="H181" s="44">
        <f t="shared" ref="H181:R181" si="73">(H182+H189+H195+H202+H208)*100/$S$181</f>
        <v>5.247311827956989</v>
      </c>
      <c r="I181" s="44">
        <f t="shared" si="73"/>
        <v>14.182795698924732</v>
      </c>
      <c r="J181" s="44">
        <f t="shared" si="73"/>
        <v>23.784946236559144</v>
      </c>
      <c r="K181" s="44">
        <f t="shared" si="73"/>
        <v>32.053763440860209</v>
      </c>
      <c r="L181" s="44">
        <f t="shared" si="73"/>
        <v>38.989247311827953</v>
      </c>
      <c r="M181" s="44">
        <f t="shared" si="73"/>
        <v>47.258064516129032</v>
      </c>
      <c r="N181" s="44">
        <f t="shared" si="73"/>
        <v>54.193548387096783</v>
      </c>
      <c r="O181" s="44">
        <f t="shared" si="73"/>
        <v>61.129032258064512</v>
      </c>
      <c r="P181" s="44">
        <f t="shared" si="73"/>
        <v>78.064516129032256</v>
      </c>
      <c r="Q181" s="44">
        <f t="shared" si="73"/>
        <v>91</v>
      </c>
      <c r="R181" s="44">
        <f t="shared" si="73"/>
        <v>100</v>
      </c>
      <c r="S181" s="41">
        <v>500</v>
      </c>
      <c r="T181" s="26" t="s">
        <v>178</v>
      </c>
      <c r="U181" s="37">
        <v>4.2</v>
      </c>
      <c r="V181" s="38"/>
      <c r="W181" s="38"/>
      <c r="X181" s="38"/>
      <c r="Y181" s="38"/>
      <c r="Z181" s="38"/>
      <c r="AA181" s="57"/>
      <c r="AB181" s="57"/>
      <c r="AC181" s="57"/>
      <c r="AD181" s="57"/>
    </row>
    <row r="182" spans="1:30" s="25" customFormat="1" ht="24" customHeight="1" x14ac:dyDescent="0.4">
      <c r="A182" s="82"/>
      <c r="B182" s="101" t="s">
        <v>212</v>
      </c>
      <c r="C182" s="101"/>
      <c r="D182" s="101"/>
      <c r="E182" s="101"/>
      <c r="F182" s="45" t="s">
        <v>213</v>
      </c>
      <c r="G182" s="68">
        <f t="shared" ref="G182:R182" si="74">(G183*100)/$S$183</f>
        <v>6.666666666666667</v>
      </c>
      <c r="H182" s="68">
        <f t="shared" si="74"/>
        <v>13.333333333333334</v>
      </c>
      <c r="I182" s="68">
        <f t="shared" si="74"/>
        <v>26.666666666666668</v>
      </c>
      <c r="J182" s="68">
        <f t="shared" si="74"/>
        <v>33.333333333333336</v>
      </c>
      <c r="K182" s="68">
        <f t="shared" si="74"/>
        <v>46.666666666666664</v>
      </c>
      <c r="L182" s="68">
        <f t="shared" si="74"/>
        <v>53.333333333333336</v>
      </c>
      <c r="M182" s="68">
        <f t="shared" si="74"/>
        <v>66.666666666666671</v>
      </c>
      <c r="N182" s="68">
        <f t="shared" si="74"/>
        <v>73.333333333333329</v>
      </c>
      <c r="O182" s="68">
        <f t="shared" si="74"/>
        <v>80</v>
      </c>
      <c r="P182" s="68">
        <f t="shared" si="74"/>
        <v>86.666666666666671</v>
      </c>
      <c r="Q182" s="68">
        <f t="shared" si="74"/>
        <v>93.333333333333329</v>
      </c>
      <c r="R182" s="68">
        <f t="shared" si="74"/>
        <v>100</v>
      </c>
      <c r="S182" s="22"/>
      <c r="T182" s="24"/>
      <c r="U182" s="24"/>
      <c r="V182" s="24"/>
      <c r="W182" s="24"/>
      <c r="X182" s="24"/>
      <c r="Y182" s="24"/>
      <c r="Z182" s="24"/>
      <c r="AA182" s="103"/>
      <c r="AB182" s="103"/>
      <c r="AC182" s="103"/>
      <c r="AD182" s="103"/>
    </row>
    <row r="183" spans="1:30" s="25" customFormat="1" ht="1" hidden="1" customHeight="1" x14ac:dyDescent="0.2">
      <c r="A183" s="83"/>
      <c r="B183" s="47"/>
      <c r="C183" s="47"/>
      <c r="D183" s="47"/>
      <c r="E183" s="47"/>
      <c r="F183" s="45"/>
      <c r="G183" s="24">
        <f>SUM(G184:G188)</f>
        <v>1</v>
      </c>
      <c r="H183" s="24">
        <f t="shared" ref="H183:R183" si="75">G183+SUM(H184:H188)</f>
        <v>2</v>
      </c>
      <c r="I183" s="24">
        <f t="shared" si="75"/>
        <v>4</v>
      </c>
      <c r="J183" s="24">
        <f t="shared" si="75"/>
        <v>5</v>
      </c>
      <c r="K183" s="24">
        <f t="shared" si="75"/>
        <v>7</v>
      </c>
      <c r="L183" s="24">
        <f t="shared" si="75"/>
        <v>8</v>
      </c>
      <c r="M183" s="24">
        <f t="shared" si="75"/>
        <v>10</v>
      </c>
      <c r="N183" s="24">
        <f t="shared" si="75"/>
        <v>11</v>
      </c>
      <c r="O183" s="24">
        <f t="shared" si="75"/>
        <v>12</v>
      </c>
      <c r="P183" s="24">
        <f t="shared" si="75"/>
        <v>13</v>
      </c>
      <c r="Q183" s="24">
        <f t="shared" si="75"/>
        <v>14</v>
      </c>
      <c r="R183" s="24">
        <f t="shared" si="75"/>
        <v>15</v>
      </c>
      <c r="S183" s="22">
        <v>15</v>
      </c>
      <c r="T183" s="24"/>
      <c r="U183" s="24"/>
      <c r="V183" s="24"/>
      <c r="W183" s="24"/>
      <c r="X183" s="24"/>
      <c r="Y183" s="24"/>
      <c r="Z183" s="24"/>
      <c r="AA183" s="103"/>
      <c r="AB183" s="103"/>
      <c r="AC183" s="103"/>
      <c r="AD183" s="103"/>
    </row>
    <row r="184" spans="1:30" s="25" customFormat="1" ht="25" customHeight="1" x14ac:dyDescent="0.2">
      <c r="A184" s="83"/>
      <c r="B184" s="119" t="s">
        <v>214</v>
      </c>
      <c r="C184" s="120"/>
      <c r="D184" s="120"/>
      <c r="E184" s="121"/>
      <c r="F184" s="45"/>
      <c r="G184" s="69">
        <v>1</v>
      </c>
      <c r="H184" s="69">
        <v>1</v>
      </c>
      <c r="I184" s="69">
        <v>1</v>
      </c>
      <c r="J184" s="24"/>
      <c r="K184" s="24"/>
      <c r="L184" s="24"/>
      <c r="M184" s="24"/>
      <c r="N184" s="24"/>
      <c r="O184" s="24"/>
      <c r="P184" s="24"/>
      <c r="Q184" s="24"/>
      <c r="R184" s="24"/>
      <c r="S184" s="22">
        <f t="shared" si="63"/>
        <v>3</v>
      </c>
      <c r="T184" s="24"/>
      <c r="U184" s="24"/>
      <c r="V184" s="24"/>
      <c r="W184" s="24"/>
      <c r="X184" s="24"/>
      <c r="Y184" s="24"/>
      <c r="Z184" s="24"/>
      <c r="AA184" s="103"/>
      <c r="AB184" s="103"/>
      <c r="AC184" s="103"/>
      <c r="AD184" s="103"/>
    </row>
    <row r="185" spans="1:30" s="25" customFormat="1" ht="29" customHeight="1" x14ac:dyDescent="0.2">
      <c r="A185" s="83"/>
      <c r="B185" s="119" t="s">
        <v>215</v>
      </c>
      <c r="C185" s="120"/>
      <c r="D185" s="120"/>
      <c r="E185" s="121"/>
      <c r="F185" s="45"/>
      <c r="G185" s="24"/>
      <c r="H185" s="24"/>
      <c r="I185" s="69">
        <v>1</v>
      </c>
      <c r="J185" s="69">
        <v>1</v>
      </c>
      <c r="K185" s="69">
        <v>1</v>
      </c>
      <c r="L185" s="24"/>
      <c r="M185" s="24"/>
      <c r="N185" s="24"/>
      <c r="O185" s="24"/>
      <c r="P185" s="24"/>
      <c r="Q185" s="24"/>
      <c r="R185" s="24"/>
      <c r="S185" s="22">
        <f t="shared" si="63"/>
        <v>3</v>
      </c>
      <c r="T185" s="24"/>
      <c r="U185" s="24"/>
      <c r="V185" s="24"/>
      <c r="W185" s="24"/>
      <c r="X185" s="24"/>
      <c r="Y185" s="24"/>
      <c r="Z185" s="24"/>
      <c r="AA185" s="103"/>
      <c r="AB185" s="103"/>
      <c r="AC185" s="103"/>
      <c r="AD185" s="103"/>
    </row>
    <row r="186" spans="1:30" s="25" customFormat="1" x14ac:dyDescent="0.2">
      <c r="A186" s="83"/>
      <c r="B186" s="107" t="s">
        <v>216</v>
      </c>
      <c r="C186" s="108"/>
      <c r="D186" s="108"/>
      <c r="E186" s="109"/>
      <c r="F186" s="45"/>
      <c r="G186" s="24"/>
      <c r="H186" s="24"/>
      <c r="I186" s="24"/>
      <c r="J186" s="24"/>
      <c r="K186" s="69">
        <v>1</v>
      </c>
      <c r="L186" s="69">
        <v>1</v>
      </c>
      <c r="M186" s="69">
        <v>1</v>
      </c>
      <c r="N186" s="24"/>
      <c r="O186" s="24"/>
      <c r="P186" s="24"/>
      <c r="Q186" s="24"/>
      <c r="R186" s="24"/>
      <c r="S186" s="22">
        <f t="shared" si="63"/>
        <v>3</v>
      </c>
      <c r="T186" s="24"/>
      <c r="U186" s="24"/>
      <c r="V186" s="24"/>
      <c r="W186" s="24"/>
      <c r="X186" s="24"/>
      <c r="Y186" s="24"/>
      <c r="Z186" s="24"/>
      <c r="AA186" s="103"/>
      <c r="AB186" s="103"/>
      <c r="AC186" s="103"/>
      <c r="AD186" s="103"/>
    </row>
    <row r="187" spans="1:30" s="25" customFormat="1" x14ac:dyDescent="0.2">
      <c r="A187" s="83"/>
      <c r="B187" s="107" t="s">
        <v>217</v>
      </c>
      <c r="C187" s="108"/>
      <c r="D187" s="108"/>
      <c r="E187" s="109"/>
      <c r="F187" s="45"/>
      <c r="G187" s="24"/>
      <c r="H187" s="24"/>
      <c r="I187" s="24"/>
      <c r="J187" s="24"/>
      <c r="K187" s="24"/>
      <c r="L187" s="24"/>
      <c r="M187" s="69">
        <v>1</v>
      </c>
      <c r="N187" s="69">
        <v>1</v>
      </c>
      <c r="O187" s="69">
        <v>1</v>
      </c>
      <c r="P187" s="24"/>
      <c r="Q187" s="24"/>
      <c r="R187" s="24"/>
      <c r="S187" s="22">
        <f t="shared" si="63"/>
        <v>3</v>
      </c>
      <c r="T187" s="24"/>
      <c r="U187" s="24"/>
      <c r="V187" s="24"/>
      <c r="W187" s="24"/>
      <c r="X187" s="24"/>
      <c r="Y187" s="24"/>
      <c r="Z187" s="24"/>
      <c r="AA187" s="103"/>
      <c r="AB187" s="103"/>
      <c r="AC187" s="103"/>
      <c r="AD187" s="103"/>
    </row>
    <row r="188" spans="1:30" s="25" customFormat="1" x14ac:dyDescent="0.2">
      <c r="A188" s="83"/>
      <c r="B188" s="107" t="s">
        <v>218</v>
      </c>
      <c r="C188" s="108"/>
      <c r="D188" s="108"/>
      <c r="E188" s="109"/>
      <c r="F188" s="45"/>
      <c r="G188" s="24"/>
      <c r="H188" s="24"/>
      <c r="I188" s="24"/>
      <c r="J188" s="24"/>
      <c r="K188" s="24"/>
      <c r="L188" s="24"/>
      <c r="M188" s="24"/>
      <c r="N188" s="24"/>
      <c r="O188" s="24"/>
      <c r="P188" s="69">
        <v>1</v>
      </c>
      <c r="Q188" s="69">
        <v>1</v>
      </c>
      <c r="R188" s="69">
        <v>1</v>
      </c>
      <c r="S188" s="22">
        <f t="shared" si="63"/>
        <v>3</v>
      </c>
      <c r="T188" s="24"/>
      <c r="U188" s="24"/>
      <c r="V188" s="24"/>
      <c r="W188" s="24"/>
      <c r="X188" s="24"/>
      <c r="Y188" s="24"/>
      <c r="Z188" s="24"/>
      <c r="AA188" s="103"/>
      <c r="AB188" s="103"/>
      <c r="AC188" s="103"/>
      <c r="AD188" s="103"/>
    </row>
    <row r="189" spans="1:30" s="25" customFormat="1" ht="27" customHeight="1" x14ac:dyDescent="0.4">
      <c r="A189" s="83"/>
      <c r="B189" s="101" t="s">
        <v>219</v>
      </c>
      <c r="C189" s="101"/>
      <c r="D189" s="101"/>
      <c r="E189" s="101"/>
      <c r="F189" s="46"/>
      <c r="G189" s="24"/>
      <c r="H189" s="24"/>
      <c r="I189" s="68">
        <f t="shared" ref="I189:R189" si="76">(I190*100)/$S$190</f>
        <v>5</v>
      </c>
      <c r="J189" s="68">
        <f t="shared" si="76"/>
        <v>20</v>
      </c>
      <c r="K189" s="68">
        <f t="shared" si="76"/>
        <v>30</v>
      </c>
      <c r="L189" s="68">
        <f t="shared" si="76"/>
        <v>40</v>
      </c>
      <c r="M189" s="68">
        <f t="shared" si="76"/>
        <v>50</v>
      </c>
      <c r="N189" s="68">
        <f t="shared" si="76"/>
        <v>60</v>
      </c>
      <c r="O189" s="68">
        <f t="shared" si="76"/>
        <v>70</v>
      </c>
      <c r="P189" s="68">
        <f t="shared" si="76"/>
        <v>80</v>
      </c>
      <c r="Q189" s="68">
        <f t="shared" si="76"/>
        <v>90</v>
      </c>
      <c r="R189" s="68">
        <f t="shared" si="76"/>
        <v>100</v>
      </c>
      <c r="S189" s="22"/>
      <c r="T189" s="24"/>
      <c r="U189" s="24"/>
      <c r="V189" s="24"/>
      <c r="W189" s="24"/>
      <c r="X189" s="24"/>
      <c r="Y189" s="24"/>
      <c r="Z189" s="24"/>
      <c r="AA189" s="103"/>
      <c r="AB189" s="103"/>
      <c r="AC189" s="103"/>
      <c r="AD189" s="103"/>
    </row>
    <row r="190" spans="1:30" s="25" customFormat="1" ht="23.25" hidden="1" customHeight="1" x14ac:dyDescent="0.2">
      <c r="A190" s="83"/>
      <c r="B190" s="47"/>
      <c r="C190" s="47"/>
      <c r="D190" s="47"/>
      <c r="E190" s="47"/>
      <c r="F190" s="46"/>
      <c r="G190" s="24"/>
      <c r="H190" s="24"/>
      <c r="I190" s="24">
        <f>SUM(I191:I194)</f>
        <v>1</v>
      </c>
      <c r="J190" s="24">
        <f>I190+(SUM(J191:J194))</f>
        <v>4</v>
      </c>
      <c r="K190" s="24">
        <f>J190+(SUM(K191:K194))</f>
        <v>6</v>
      </c>
      <c r="L190" s="24">
        <f>K190+(SUM(L191:L194))</f>
        <v>8</v>
      </c>
      <c r="M190" s="24">
        <f t="shared" ref="M190:R190" si="77">L190+SUM(M191:M194)</f>
        <v>10</v>
      </c>
      <c r="N190" s="24">
        <f t="shared" si="77"/>
        <v>12</v>
      </c>
      <c r="O190" s="24">
        <f t="shared" si="77"/>
        <v>14</v>
      </c>
      <c r="P190" s="24">
        <f t="shared" si="77"/>
        <v>16</v>
      </c>
      <c r="Q190" s="24">
        <f t="shared" si="77"/>
        <v>18</v>
      </c>
      <c r="R190" s="24">
        <f t="shared" si="77"/>
        <v>20</v>
      </c>
      <c r="S190" s="22">
        <v>20</v>
      </c>
      <c r="T190" s="24"/>
      <c r="U190" s="24"/>
      <c r="V190" s="24"/>
      <c r="W190" s="24"/>
      <c r="X190" s="24"/>
      <c r="Y190" s="24"/>
      <c r="Z190" s="24"/>
      <c r="AA190" s="103"/>
      <c r="AB190" s="103"/>
      <c r="AC190" s="103"/>
      <c r="AD190" s="103"/>
    </row>
    <row r="191" spans="1:30" s="25" customFormat="1" x14ac:dyDescent="0.2">
      <c r="A191" s="83"/>
      <c r="B191" s="107" t="s">
        <v>220</v>
      </c>
      <c r="C191" s="108"/>
      <c r="D191" s="108"/>
      <c r="E191" s="109"/>
      <c r="F191" s="46"/>
      <c r="G191" s="24"/>
      <c r="H191" s="24"/>
      <c r="I191" s="70">
        <v>1</v>
      </c>
      <c r="J191" s="24"/>
      <c r="K191" s="24"/>
      <c r="L191" s="24"/>
      <c r="M191" s="24"/>
      <c r="N191" s="24"/>
      <c r="O191" s="24"/>
      <c r="P191" s="24"/>
      <c r="Q191" s="24"/>
      <c r="R191" s="24"/>
      <c r="S191" s="22">
        <f t="shared" si="63"/>
        <v>1</v>
      </c>
      <c r="T191" s="24"/>
      <c r="U191" s="24"/>
      <c r="V191" s="24"/>
      <c r="W191" s="24"/>
      <c r="X191" s="24"/>
      <c r="Y191" s="24"/>
      <c r="Z191" s="24"/>
      <c r="AA191" s="103"/>
      <c r="AB191" s="103"/>
      <c r="AC191" s="103"/>
      <c r="AD191" s="103"/>
    </row>
    <row r="192" spans="1:30" s="25" customFormat="1" ht="27" customHeight="1" x14ac:dyDescent="0.2">
      <c r="A192" s="83"/>
      <c r="B192" s="119" t="s">
        <v>221</v>
      </c>
      <c r="C192" s="120"/>
      <c r="D192" s="120"/>
      <c r="E192" s="121"/>
      <c r="F192" s="46"/>
      <c r="G192" s="24"/>
      <c r="H192" s="24"/>
      <c r="I192" s="24"/>
      <c r="J192" s="70">
        <v>1</v>
      </c>
      <c r="K192" s="24"/>
      <c r="L192" s="24"/>
      <c r="M192" s="24"/>
      <c r="N192" s="24"/>
      <c r="O192" s="24"/>
      <c r="P192" s="24"/>
      <c r="Q192" s="24"/>
      <c r="R192" s="24"/>
      <c r="S192" s="22">
        <f t="shared" si="63"/>
        <v>1</v>
      </c>
      <c r="T192" s="24"/>
      <c r="U192" s="24"/>
      <c r="V192" s="24"/>
      <c r="W192" s="24"/>
      <c r="X192" s="24"/>
      <c r="Y192" s="24"/>
      <c r="Z192" s="24"/>
      <c r="AA192" s="103"/>
      <c r="AB192" s="103"/>
      <c r="AC192" s="103"/>
      <c r="AD192" s="103"/>
    </row>
    <row r="193" spans="1:30" s="25" customFormat="1" x14ac:dyDescent="0.2">
      <c r="A193" s="83"/>
      <c r="B193" s="107" t="s">
        <v>222</v>
      </c>
      <c r="C193" s="108"/>
      <c r="D193" s="108"/>
      <c r="E193" s="109"/>
      <c r="F193" s="46"/>
      <c r="G193" s="24"/>
      <c r="H193" s="24"/>
      <c r="I193" s="24"/>
      <c r="J193" s="70">
        <v>1</v>
      </c>
      <c r="K193" s="70">
        <v>1</v>
      </c>
      <c r="L193" s="70">
        <v>1</v>
      </c>
      <c r="M193" s="70">
        <v>1</v>
      </c>
      <c r="N193" s="70">
        <v>1</v>
      </c>
      <c r="O193" s="70">
        <v>1</v>
      </c>
      <c r="P193" s="70">
        <v>1</v>
      </c>
      <c r="Q193" s="70">
        <v>1</v>
      </c>
      <c r="R193" s="70">
        <v>1</v>
      </c>
      <c r="S193" s="22">
        <f t="shared" si="63"/>
        <v>9</v>
      </c>
      <c r="T193" s="24"/>
      <c r="U193" s="24"/>
      <c r="V193" s="24"/>
      <c r="W193" s="24"/>
      <c r="X193" s="24"/>
      <c r="Y193" s="24"/>
      <c r="Z193" s="24"/>
      <c r="AA193" s="103"/>
      <c r="AB193" s="103"/>
      <c r="AC193" s="103"/>
      <c r="AD193" s="103"/>
    </row>
    <row r="194" spans="1:30" s="25" customFormat="1" x14ac:dyDescent="0.2">
      <c r="A194" s="83"/>
      <c r="B194" s="107" t="s">
        <v>223</v>
      </c>
      <c r="C194" s="108"/>
      <c r="D194" s="108"/>
      <c r="E194" s="109"/>
      <c r="F194" s="46"/>
      <c r="G194" s="24"/>
      <c r="H194" s="24"/>
      <c r="I194" s="24"/>
      <c r="J194" s="70">
        <v>1</v>
      </c>
      <c r="K194" s="70">
        <v>1</v>
      </c>
      <c r="L194" s="70">
        <v>1</v>
      </c>
      <c r="M194" s="70">
        <v>1</v>
      </c>
      <c r="N194" s="70">
        <v>1</v>
      </c>
      <c r="O194" s="70">
        <v>1</v>
      </c>
      <c r="P194" s="70">
        <v>1</v>
      </c>
      <c r="Q194" s="70">
        <v>1</v>
      </c>
      <c r="R194" s="70">
        <v>1</v>
      </c>
      <c r="S194" s="22">
        <f t="shared" si="63"/>
        <v>9</v>
      </c>
      <c r="T194" s="24"/>
      <c r="U194" s="24"/>
      <c r="V194" s="24"/>
      <c r="W194" s="24"/>
      <c r="X194" s="24"/>
      <c r="Y194" s="24"/>
      <c r="Z194" s="24"/>
      <c r="AA194" s="103"/>
      <c r="AB194" s="103"/>
      <c r="AC194" s="103"/>
      <c r="AD194" s="103"/>
    </row>
    <row r="195" spans="1:30" s="25" customFormat="1" ht="22" customHeight="1" x14ac:dyDescent="0.4">
      <c r="A195" s="83"/>
      <c r="B195" s="85" t="s">
        <v>224</v>
      </c>
      <c r="C195" s="85"/>
      <c r="D195" s="85"/>
      <c r="E195" s="85"/>
      <c r="F195" s="24"/>
      <c r="G195" s="24"/>
      <c r="H195" s="24"/>
      <c r="I195" s="68">
        <f t="shared" ref="I195:R195" si="78">(I196*100)/$S$196</f>
        <v>16.666666666666668</v>
      </c>
      <c r="J195" s="68">
        <f t="shared" si="78"/>
        <v>33.333333333333336</v>
      </c>
      <c r="K195" s="68">
        <f t="shared" si="78"/>
        <v>41.666666666666664</v>
      </c>
      <c r="L195" s="68">
        <f t="shared" si="78"/>
        <v>50</v>
      </c>
      <c r="M195" s="68">
        <f t="shared" si="78"/>
        <v>58.333333333333336</v>
      </c>
      <c r="N195" s="68">
        <f t="shared" si="78"/>
        <v>66.666666666666671</v>
      </c>
      <c r="O195" s="68">
        <f t="shared" si="78"/>
        <v>75</v>
      </c>
      <c r="P195" s="68">
        <f t="shared" si="78"/>
        <v>83.333333333333329</v>
      </c>
      <c r="Q195" s="68">
        <f t="shared" si="78"/>
        <v>91.666666666666671</v>
      </c>
      <c r="R195" s="68">
        <f t="shared" si="78"/>
        <v>100</v>
      </c>
      <c r="S195" s="22"/>
      <c r="T195" s="24"/>
      <c r="U195" s="24"/>
      <c r="V195" s="24"/>
      <c r="W195" s="24"/>
      <c r="X195" s="24"/>
      <c r="Y195" s="24"/>
      <c r="Z195" s="24"/>
      <c r="AA195" s="103"/>
      <c r="AB195" s="103"/>
      <c r="AC195" s="103"/>
      <c r="AD195" s="103"/>
    </row>
    <row r="196" spans="1:30" s="25" customFormat="1" ht="19" hidden="1" customHeight="1" x14ac:dyDescent="0.2">
      <c r="A196" s="83"/>
      <c r="B196" s="20"/>
      <c r="C196" s="20"/>
      <c r="D196" s="20"/>
      <c r="E196" s="20"/>
      <c r="F196" s="24"/>
      <c r="G196" s="24"/>
      <c r="H196" s="24"/>
      <c r="I196" s="24">
        <f>SUM(I197:I201)</f>
        <v>2</v>
      </c>
      <c r="J196" s="24">
        <f>I196+(SUM(J197:J201))</f>
        <v>4</v>
      </c>
      <c r="K196" s="24">
        <f>J196+(SUM(K197:K201))</f>
        <v>5</v>
      </c>
      <c r="L196" s="24">
        <f>K196+(SUM(L197:L201))</f>
        <v>6</v>
      </c>
      <c r="M196" s="24">
        <f t="shared" ref="M196:R196" si="79">L196+SUM(M197:M201)</f>
        <v>7</v>
      </c>
      <c r="N196" s="24">
        <f t="shared" si="79"/>
        <v>8</v>
      </c>
      <c r="O196" s="24">
        <f t="shared" si="79"/>
        <v>9</v>
      </c>
      <c r="P196" s="24">
        <f t="shared" si="79"/>
        <v>10</v>
      </c>
      <c r="Q196" s="24">
        <f t="shared" si="79"/>
        <v>11</v>
      </c>
      <c r="R196" s="24">
        <f t="shared" si="79"/>
        <v>12</v>
      </c>
      <c r="S196" s="22">
        <v>12</v>
      </c>
      <c r="T196" s="24"/>
      <c r="U196" s="24"/>
      <c r="V196" s="24"/>
      <c r="W196" s="24"/>
      <c r="X196" s="24"/>
      <c r="Y196" s="24"/>
      <c r="Z196" s="24"/>
      <c r="AA196" s="103"/>
      <c r="AB196" s="103"/>
      <c r="AC196" s="103"/>
      <c r="AD196" s="103"/>
    </row>
    <row r="197" spans="1:30" s="25" customFormat="1" ht="25" customHeight="1" x14ac:dyDescent="0.2">
      <c r="A197" s="83"/>
      <c r="B197" s="113" t="s">
        <v>225</v>
      </c>
      <c r="C197" s="114"/>
      <c r="D197" s="114"/>
      <c r="E197" s="115"/>
      <c r="F197" s="24"/>
      <c r="G197" s="24"/>
      <c r="H197" s="24"/>
      <c r="I197" s="70">
        <v>1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22">
        <f>SUM(G197:R197)</f>
        <v>1</v>
      </c>
      <c r="T197" s="24"/>
      <c r="U197" s="24"/>
      <c r="V197" s="24"/>
      <c r="W197" s="24"/>
      <c r="X197" s="24"/>
      <c r="Y197" s="24"/>
      <c r="Z197" s="24"/>
      <c r="AA197" s="103"/>
      <c r="AB197" s="103"/>
      <c r="AC197" s="103"/>
      <c r="AD197" s="103"/>
    </row>
    <row r="198" spans="1:30" s="25" customFormat="1" ht="25" customHeight="1" x14ac:dyDescent="0.2">
      <c r="A198" s="83"/>
      <c r="B198" s="116" t="s">
        <v>226</v>
      </c>
      <c r="C198" s="117"/>
      <c r="D198" s="117"/>
      <c r="E198" s="118"/>
      <c r="F198" s="24"/>
      <c r="G198" s="24"/>
      <c r="H198" s="24"/>
      <c r="I198" s="70">
        <v>1</v>
      </c>
      <c r="J198" s="70">
        <v>1</v>
      </c>
      <c r="K198" s="24"/>
      <c r="L198" s="24"/>
      <c r="M198" s="24"/>
      <c r="N198" s="24"/>
      <c r="O198" s="24"/>
      <c r="P198" s="24"/>
      <c r="Q198" s="24"/>
      <c r="R198" s="24"/>
      <c r="S198" s="22">
        <f>SUM(G198:R198)</f>
        <v>2</v>
      </c>
      <c r="T198" s="24"/>
      <c r="U198" s="24"/>
      <c r="V198" s="24"/>
      <c r="W198" s="24"/>
      <c r="X198" s="24"/>
      <c r="Y198" s="24"/>
      <c r="Z198" s="24"/>
      <c r="AA198" s="103"/>
      <c r="AB198" s="103"/>
      <c r="AC198" s="103"/>
      <c r="AD198" s="103"/>
    </row>
    <row r="199" spans="1:30" s="25" customFormat="1" ht="25" customHeight="1" x14ac:dyDescent="0.2">
      <c r="A199" s="83"/>
      <c r="B199" s="113" t="s">
        <v>227</v>
      </c>
      <c r="C199" s="114"/>
      <c r="D199" s="114"/>
      <c r="E199" s="115"/>
      <c r="F199" s="24"/>
      <c r="G199" s="24"/>
      <c r="H199" s="24"/>
      <c r="I199" s="24"/>
      <c r="J199" s="70">
        <v>1</v>
      </c>
      <c r="K199" s="70">
        <v>1</v>
      </c>
      <c r="L199" s="70">
        <v>1</v>
      </c>
      <c r="M199" s="70">
        <v>1</v>
      </c>
      <c r="N199" s="70">
        <v>1</v>
      </c>
      <c r="O199" s="70">
        <v>1</v>
      </c>
      <c r="P199" s="24"/>
      <c r="Q199" s="24"/>
      <c r="R199" s="24"/>
      <c r="S199" s="22">
        <f>SUM(G199:R199)</f>
        <v>6</v>
      </c>
      <c r="T199" s="24"/>
      <c r="U199" s="24"/>
      <c r="V199" s="24"/>
      <c r="W199" s="24"/>
      <c r="X199" s="24"/>
      <c r="Y199" s="24"/>
      <c r="Z199" s="24"/>
      <c r="AA199" s="103"/>
      <c r="AB199" s="103"/>
      <c r="AC199" s="103"/>
      <c r="AD199" s="103"/>
    </row>
    <row r="200" spans="1:30" s="25" customFormat="1" ht="25" customHeight="1" x14ac:dyDescent="0.2">
      <c r="A200" s="83"/>
      <c r="B200" s="116" t="s">
        <v>228</v>
      </c>
      <c r="C200" s="117"/>
      <c r="D200" s="117"/>
      <c r="E200" s="118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70">
        <v>1</v>
      </c>
      <c r="Q200" s="24"/>
      <c r="R200" s="24"/>
      <c r="S200" s="22">
        <f>SUM(G200:R200)</f>
        <v>1</v>
      </c>
      <c r="T200" s="24"/>
      <c r="U200" s="24"/>
      <c r="V200" s="24"/>
      <c r="W200" s="24"/>
      <c r="X200" s="24"/>
      <c r="Y200" s="24"/>
      <c r="Z200" s="24"/>
      <c r="AA200" s="103"/>
      <c r="AB200" s="103"/>
      <c r="AC200" s="103"/>
      <c r="AD200" s="103"/>
    </row>
    <row r="201" spans="1:30" s="25" customFormat="1" ht="25" customHeight="1" x14ac:dyDescent="0.2">
      <c r="A201" s="83"/>
      <c r="B201" s="113" t="s">
        <v>229</v>
      </c>
      <c r="C201" s="114"/>
      <c r="D201" s="114"/>
      <c r="E201" s="115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70">
        <v>1</v>
      </c>
      <c r="R201" s="70">
        <v>1</v>
      </c>
      <c r="S201" s="22">
        <f>SUM(G201:R201)</f>
        <v>2</v>
      </c>
      <c r="T201" s="24"/>
      <c r="U201" s="24"/>
      <c r="V201" s="24"/>
      <c r="W201" s="24"/>
      <c r="X201" s="24"/>
      <c r="Y201" s="24"/>
      <c r="Z201" s="24"/>
      <c r="AA201" s="103"/>
      <c r="AB201" s="103"/>
      <c r="AC201" s="103"/>
      <c r="AD201" s="103"/>
    </row>
    <row r="202" spans="1:30" s="25" customFormat="1" ht="29" customHeight="1" x14ac:dyDescent="0.4">
      <c r="A202" s="83"/>
      <c r="B202" s="104" t="s">
        <v>230</v>
      </c>
      <c r="C202" s="105"/>
      <c r="D202" s="105"/>
      <c r="E202" s="106"/>
      <c r="F202" s="24" t="s">
        <v>231</v>
      </c>
      <c r="G202" s="68">
        <f t="shared" ref="G202:Q202" si="80">(G203*100)/$S$203</f>
        <v>3.225806451612903</v>
      </c>
      <c r="H202" s="68">
        <f t="shared" si="80"/>
        <v>12.903225806451612</v>
      </c>
      <c r="I202" s="68">
        <f t="shared" si="80"/>
        <v>22.580645161290324</v>
      </c>
      <c r="J202" s="68">
        <f t="shared" si="80"/>
        <v>32.258064516129032</v>
      </c>
      <c r="K202" s="68">
        <f t="shared" si="80"/>
        <v>41.935483870967744</v>
      </c>
      <c r="L202" s="68">
        <f t="shared" si="80"/>
        <v>51.612903225806448</v>
      </c>
      <c r="M202" s="68">
        <f t="shared" si="80"/>
        <v>61.29032258064516</v>
      </c>
      <c r="N202" s="68">
        <f t="shared" si="80"/>
        <v>70.967741935483872</v>
      </c>
      <c r="O202" s="68">
        <f t="shared" si="80"/>
        <v>80.645161290322577</v>
      </c>
      <c r="P202" s="68">
        <f t="shared" si="80"/>
        <v>90.322580645161295</v>
      </c>
      <c r="Q202" s="68">
        <f t="shared" si="80"/>
        <v>100</v>
      </c>
      <c r="R202" s="35">
        <v>100</v>
      </c>
      <c r="S202" s="22"/>
      <c r="T202" s="24"/>
      <c r="U202" s="24"/>
      <c r="V202" s="24"/>
      <c r="W202" s="24"/>
      <c r="X202" s="24"/>
      <c r="Y202" s="24"/>
      <c r="Z202" s="24"/>
      <c r="AA202" s="103"/>
      <c r="AB202" s="103"/>
      <c r="AC202" s="103"/>
      <c r="AD202" s="103"/>
    </row>
    <row r="203" spans="1:30" s="25" customFormat="1" ht="23.25" hidden="1" customHeight="1" x14ac:dyDescent="0.2">
      <c r="A203" s="83"/>
      <c r="B203" s="20"/>
      <c r="C203" s="20"/>
      <c r="D203" s="20"/>
      <c r="E203" s="20"/>
      <c r="F203" s="24"/>
      <c r="G203" s="24">
        <f>SUM(G204:G207)</f>
        <v>1</v>
      </c>
      <c r="H203" s="24">
        <f>G203+(SUM(H204:H207))</f>
        <v>4</v>
      </c>
      <c r="I203" s="24">
        <f>H203+(SUM(I204:I207))</f>
        <v>7</v>
      </c>
      <c r="J203" s="24">
        <f>I203+(SUM(J204:J207))</f>
        <v>10</v>
      </c>
      <c r="K203" s="24">
        <f t="shared" ref="K203:Q203" si="81">J203+SUM(K204:K207)</f>
        <v>13</v>
      </c>
      <c r="L203" s="24">
        <f t="shared" si="81"/>
        <v>16</v>
      </c>
      <c r="M203" s="24">
        <f t="shared" si="81"/>
        <v>19</v>
      </c>
      <c r="N203" s="24">
        <f t="shared" si="81"/>
        <v>22</v>
      </c>
      <c r="O203" s="24">
        <f t="shared" si="81"/>
        <v>25</v>
      </c>
      <c r="P203" s="24">
        <f t="shared" si="81"/>
        <v>28</v>
      </c>
      <c r="Q203" s="24">
        <f t="shared" si="81"/>
        <v>31</v>
      </c>
      <c r="R203" s="35"/>
      <c r="S203" s="22">
        <v>31</v>
      </c>
      <c r="T203" s="24"/>
      <c r="U203" s="24"/>
      <c r="V203" s="24"/>
      <c r="W203" s="24"/>
      <c r="X203" s="24"/>
      <c r="Y203" s="24"/>
      <c r="Z203" s="24"/>
      <c r="AA203" s="103"/>
      <c r="AB203" s="103"/>
      <c r="AC203" s="103"/>
      <c r="AD203" s="103"/>
    </row>
    <row r="204" spans="1:30" s="25" customFormat="1" x14ac:dyDescent="0.2">
      <c r="A204" s="83"/>
      <c r="B204" s="113" t="s">
        <v>232</v>
      </c>
      <c r="C204" s="114"/>
      <c r="D204" s="114"/>
      <c r="E204" s="115"/>
      <c r="F204" s="24"/>
      <c r="G204" s="70">
        <v>1</v>
      </c>
      <c r="H204" s="70">
        <v>1</v>
      </c>
      <c r="I204" s="70">
        <v>1</v>
      </c>
      <c r="J204" s="70">
        <v>1</v>
      </c>
      <c r="K204" s="70">
        <v>1</v>
      </c>
      <c r="L204" s="70">
        <v>1</v>
      </c>
      <c r="M204" s="70">
        <v>1</v>
      </c>
      <c r="N204" s="70">
        <v>1</v>
      </c>
      <c r="O204" s="70">
        <v>1</v>
      </c>
      <c r="P204" s="70">
        <v>1</v>
      </c>
      <c r="Q204" s="24"/>
      <c r="R204" s="35"/>
      <c r="S204" s="22">
        <f>SUM(G204:R204)</f>
        <v>10</v>
      </c>
      <c r="T204" s="24"/>
      <c r="U204" s="24"/>
      <c r="V204" s="24"/>
      <c r="W204" s="24"/>
      <c r="X204" s="24"/>
      <c r="Y204" s="24"/>
      <c r="Z204" s="24"/>
      <c r="AA204" s="103"/>
      <c r="AB204" s="103"/>
      <c r="AC204" s="103"/>
      <c r="AD204" s="103"/>
    </row>
    <row r="205" spans="1:30" s="25" customFormat="1" x14ac:dyDescent="0.2">
      <c r="A205" s="83"/>
      <c r="B205" s="113" t="s">
        <v>233</v>
      </c>
      <c r="C205" s="114"/>
      <c r="D205" s="114"/>
      <c r="E205" s="115"/>
      <c r="F205" s="24"/>
      <c r="G205" s="24"/>
      <c r="H205" s="70">
        <v>1</v>
      </c>
      <c r="I205" s="70">
        <v>1</v>
      </c>
      <c r="J205" s="70">
        <v>1</v>
      </c>
      <c r="K205" s="70">
        <v>1</v>
      </c>
      <c r="L205" s="70">
        <v>1</v>
      </c>
      <c r="M205" s="70">
        <v>1</v>
      </c>
      <c r="N205" s="70">
        <v>1</v>
      </c>
      <c r="O205" s="70">
        <v>1</v>
      </c>
      <c r="P205" s="70">
        <v>1</v>
      </c>
      <c r="Q205" s="70">
        <v>1</v>
      </c>
      <c r="R205" s="24"/>
      <c r="S205" s="22">
        <f>SUM(G205:R205)</f>
        <v>10</v>
      </c>
      <c r="T205" s="24"/>
      <c r="U205" s="24"/>
      <c r="V205" s="24"/>
      <c r="W205" s="24"/>
      <c r="X205" s="24"/>
      <c r="Y205" s="24"/>
      <c r="Z205" s="24"/>
      <c r="AA205" s="103"/>
      <c r="AB205" s="103"/>
      <c r="AC205" s="103"/>
      <c r="AD205" s="103"/>
    </row>
    <row r="206" spans="1:30" s="25" customFormat="1" x14ac:dyDescent="0.2">
      <c r="A206" s="83"/>
      <c r="B206" s="116" t="s">
        <v>234</v>
      </c>
      <c r="C206" s="117"/>
      <c r="D206" s="117"/>
      <c r="E206" s="118"/>
      <c r="F206" s="24"/>
      <c r="G206" s="24"/>
      <c r="H206" s="70">
        <v>1</v>
      </c>
      <c r="I206" s="70">
        <v>1</v>
      </c>
      <c r="J206" s="70">
        <v>1</v>
      </c>
      <c r="K206" s="70">
        <v>1</v>
      </c>
      <c r="L206" s="70">
        <v>1</v>
      </c>
      <c r="M206" s="70">
        <v>1</v>
      </c>
      <c r="N206" s="70">
        <v>1</v>
      </c>
      <c r="O206" s="70">
        <v>1</v>
      </c>
      <c r="P206" s="70">
        <v>1</v>
      </c>
      <c r="Q206" s="70">
        <v>1</v>
      </c>
      <c r="R206" s="24"/>
      <c r="S206" s="22">
        <f>SUM(G206:R206)</f>
        <v>10</v>
      </c>
      <c r="T206" s="24"/>
      <c r="U206" s="24"/>
      <c r="V206" s="24"/>
      <c r="W206" s="24"/>
      <c r="X206" s="24"/>
      <c r="Y206" s="24"/>
      <c r="Z206" s="24"/>
      <c r="AA206" s="103"/>
      <c r="AB206" s="103"/>
      <c r="AC206" s="103"/>
      <c r="AD206" s="103"/>
    </row>
    <row r="207" spans="1:30" s="25" customFormat="1" x14ac:dyDescent="0.2">
      <c r="A207" s="83"/>
      <c r="B207" s="116" t="s">
        <v>235</v>
      </c>
      <c r="C207" s="117"/>
      <c r="D207" s="117"/>
      <c r="E207" s="118"/>
      <c r="F207" s="46" t="s">
        <v>236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70">
        <v>1</v>
      </c>
      <c r="R207" s="24"/>
      <c r="S207" s="22">
        <f>SUM(G207:R207)</f>
        <v>1</v>
      </c>
      <c r="T207" s="24"/>
      <c r="U207" s="24"/>
      <c r="V207" s="24"/>
      <c r="W207" s="24"/>
      <c r="X207" s="24"/>
      <c r="Y207" s="24"/>
      <c r="Z207" s="24"/>
      <c r="AA207" s="103"/>
      <c r="AB207" s="103"/>
      <c r="AC207" s="103"/>
      <c r="AD207" s="103"/>
    </row>
    <row r="208" spans="1:30" s="25" customFormat="1" ht="22" customHeight="1" x14ac:dyDescent="0.4">
      <c r="A208" s="83"/>
      <c r="B208" s="102" t="s">
        <v>237</v>
      </c>
      <c r="C208" s="102"/>
      <c r="D208" s="102"/>
      <c r="E208" s="102"/>
      <c r="F208" s="46"/>
      <c r="G208" s="24"/>
      <c r="H208" s="24"/>
      <c r="I208" s="24"/>
      <c r="J208" s="24"/>
      <c r="K208" s="24"/>
      <c r="L208" s="24"/>
      <c r="M208" s="24"/>
      <c r="N208" s="24"/>
      <c r="O208" s="24"/>
      <c r="P208" s="68">
        <f>(P209*100)/$S$209</f>
        <v>50</v>
      </c>
      <c r="Q208" s="68">
        <f>(Q209*100)/$S$209</f>
        <v>80</v>
      </c>
      <c r="R208" s="68">
        <f>(R209*100)/$S$209</f>
        <v>100</v>
      </c>
      <c r="S208" s="22"/>
      <c r="T208" s="24"/>
      <c r="U208" s="24"/>
      <c r="V208" s="24"/>
      <c r="W208" s="24"/>
      <c r="X208" s="24"/>
      <c r="Y208" s="24"/>
      <c r="Z208" s="24"/>
      <c r="AA208" s="103"/>
      <c r="AB208" s="103"/>
      <c r="AC208" s="103"/>
      <c r="AD208" s="103"/>
    </row>
    <row r="209" spans="1:30" s="25" customFormat="1" ht="23.25" hidden="1" customHeight="1" x14ac:dyDescent="0.2">
      <c r="A209" s="83"/>
      <c r="B209" s="49"/>
      <c r="C209" s="49"/>
      <c r="D209" s="49"/>
      <c r="E209" s="49"/>
      <c r="F209" s="46"/>
      <c r="G209" s="24"/>
      <c r="H209" s="24"/>
      <c r="I209" s="24"/>
      <c r="J209" s="24"/>
      <c r="K209" s="24"/>
      <c r="L209" s="24"/>
      <c r="M209" s="24"/>
      <c r="N209" s="24"/>
      <c r="O209" s="24"/>
      <c r="P209" s="24">
        <f>SUM(P210:P218)</f>
        <v>5</v>
      </c>
      <c r="Q209" s="24">
        <f>P209+SUM(Q210:Q218)</f>
        <v>8</v>
      </c>
      <c r="R209" s="24">
        <f>Q209+SUM(R210:R218)</f>
        <v>10</v>
      </c>
      <c r="S209" s="22">
        <v>10</v>
      </c>
      <c r="T209" s="24"/>
      <c r="U209" s="24"/>
      <c r="V209" s="24"/>
      <c r="W209" s="24"/>
      <c r="X209" s="24"/>
      <c r="Y209" s="24"/>
      <c r="Z209" s="24"/>
      <c r="AA209" s="103"/>
      <c r="AB209" s="103"/>
      <c r="AC209" s="103"/>
      <c r="AD209" s="103"/>
    </row>
    <row r="210" spans="1:30" s="25" customFormat="1" x14ac:dyDescent="0.2">
      <c r="A210" s="83"/>
      <c r="B210" s="110" t="s">
        <v>238</v>
      </c>
      <c r="C210" s="111"/>
      <c r="D210" s="111"/>
      <c r="E210" s="112"/>
      <c r="F210" s="46"/>
      <c r="G210" s="24"/>
      <c r="H210" s="24"/>
      <c r="I210" s="24"/>
      <c r="J210" s="24"/>
      <c r="K210" s="24"/>
      <c r="L210" s="24"/>
      <c r="M210" s="24"/>
      <c r="N210" s="24"/>
      <c r="O210" s="24"/>
      <c r="P210" s="70">
        <v>1</v>
      </c>
      <c r="Q210" s="24"/>
      <c r="R210" s="24"/>
      <c r="S210" s="22">
        <f t="shared" ref="S210:S218" si="82">SUM(G210:R210)</f>
        <v>1</v>
      </c>
      <c r="T210" s="24"/>
      <c r="U210" s="24"/>
      <c r="V210" s="24"/>
      <c r="W210" s="24"/>
      <c r="X210" s="24"/>
      <c r="Y210" s="24"/>
      <c r="Z210" s="24"/>
      <c r="AA210" s="103"/>
      <c r="AB210" s="103"/>
      <c r="AC210" s="103"/>
      <c r="AD210" s="103"/>
    </row>
    <row r="211" spans="1:30" s="25" customFormat="1" x14ac:dyDescent="0.2">
      <c r="A211" s="83"/>
      <c r="B211" s="110" t="s">
        <v>239</v>
      </c>
      <c r="C211" s="111"/>
      <c r="D211" s="111"/>
      <c r="E211" s="112"/>
      <c r="F211" s="46"/>
      <c r="G211" s="24"/>
      <c r="H211" s="24"/>
      <c r="I211" s="24"/>
      <c r="J211" s="24"/>
      <c r="K211" s="24"/>
      <c r="L211" s="24"/>
      <c r="M211" s="24"/>
      <c r="N211" s="24"/>
      <c r="O211" s="24"/>
      <c r="P211" s="70">
        <v>1</v>
      </c>
      <c r="Q211" s="24"/>
      <c r="R211" s="24"/>
      <c r="S211" s="22">
        <f t="shared" si="82"/>
        <v>1</v>
      </c>
      <c r="T211" s="24"/>
      <c r="U211" s="24"/>
      <c r="V211" s="24"/>
      <c r="W211" s="24"/>
      <c r="X211" s="24"/>
      <c r="Y211" s="24"/>
      <c r="Z211" s="24"/>
      <c r="AA211" s="103"/>
      <c r="AB211" s="103"/>
      <c r="AC211" s="103"/>
      <c r="AD211" s="103"/>
    </row>
    <row r="212" spans="1:30" s="25" customFormat="1" x14ac:dyDescent="0.2">
      <c r="A212" s="83"/>
      <c r="B212" s="110" t="s">
        <v>240</v>
      </c>
      <c r="C212" s="111"/>
      <c r="D212" s="111"/>
      <c r="E212" s="112"/>
      <c r="F212" s="46"/>
      <c r="G212" s="24"/>
      <c r="H212" s="24"/>
      <c r="I212" s="24"/>
      <c r="J212" s="24"/>
      <c r="K212" s="24"/>
      <c r="L212" s="24"/>
      <c r="M212" s="24"/>
      <c r="N212" s="24"/>
      <c r="O212" s="24"/>
      <c r="P212" s="70">
        <v>1</v>
      </c>
      <c r="Q212" s="24"/>
      <c r="R212" s="24"/>
      <c r="S212" s="22">
        <f t="shared" si="82"/>
        <v>1</v>
      </c>
      <c r="T212" s="24"/>
      <c r="U212" s="24"/>
      <c r="V212" s="24"/>
      <c r="W212" s="24"/>
      <c r="X212" s="24"/>
      <c r="Y212" s="24"/>
      <c r="Z212" s="24"/>
      <c r="AA212" s="103"/>
      <c r="AB212" s="103"/>
      <c r="AC212" s="103"/>
      <c r="AD212" s="103"/>
    </row>
    <row r="213" spans="1:30" s="25" customFormat="1" x14ac:dyDescent="0.2">
      <c r="A213" s="83"/>
      <c r="B213" s="110" t="s">
        <v>241</v>
      </c>
      <c r="C213" s="111"/>
      <c r="D213" s="111"/>
      <c r="E213" s="112"/>
      <c r="F213" s="46"/>
      <c r="G213" s="24"/>
      <c r="H213" s="24"/>
      <c r="I213" s="24"/>
      <c r="J213" s="24"/>
      <c r="K213" s="24"/>
      <c r="L213" s="24"/>
      <c r="M213" s="24"/>
      <c r="N213" s="24"/>
      <c r="O213" s="24"/>
      <c r="P213" s="70">
        <v>1</v>
      </c>
      <c r="Q213" s="24"/>
      <c r="R213" s="24"/>
      <c r="S213" s="22">
        <f t="shared" si="82"/>
        <v>1</v>
      </c>
      <c r="T213" s="24"/>
      <c r="U213" s="24"/>
      <c r="V213" s="24"/>
      <c r="W213" s="24"/>
      <c r="X213" s="24"/>
      <c r="Y213" s="24"/>
      <c r="Z213" s="24"/>
      <c r="AA213" s="103"/>
      <c r="AB213" s="103"/>
      <c r="AC213" s="103"/>
      <c r="AD213" s="103"/>
    </row>
    <row r="214" spans="1:30" s="25" customFormat="1" x14ac:dyDescent="0.2">
      <c r="A214" s="83"/>
      <c r="B214" s="110" t="s">
        <v>242</v>
      </c>
      <c r="C214" s="111"/>
      <c r="D214" s="111"/>
      <c r="E214" s="112"/>
      <c r="F214" s="46"/>
      <c r="G214" s="24"/>
      <c r="H214" s="24"/>
      <c r="I214" s="24"/>
      <c r="J214" s="24"/>
      <c r="K214" s="24"/>
      <c r="L214" s="24"/>
      <c r="M214" s="24"/>
      <c r="N214" s="24"/>
      <c r="O214" s="24"/>
      <c r="P214" s="70">
        <v>1</v>
      </c>
      <c r="Q214" s="70">
        <v>1</v>
      </c>
      <c r="R214" s="24"/>
      <c r="S214" s="22">
        <f t="shared" si="82"/>
        <v>2</v>
      </c>
      <c r="T214" s="24"/>
      <c r="U214" s="24"/>
      <c r="V214" s="24"/>
      <c r="W214" s="24"/>
      <c r="X214" s="24"/>
      <c r="Y214" s="24"/>
      <c r="Z214" s="24"/>
      <c r="AA214" s="103"/>
      <c r="AB214" s="103"/>
      <c r="AC214" s="103"/>
      <c r="AD214" s="103"/>
    </row>
    <row r="215" spans="1:30" s="25" customFormat="1" x14ac:dyDescent="0.2">
      <c r="A215" s="83"/>
      <c r="B215" s="107" t="s">
        <v>243</v>
      </c>
      <c r="C215" s="108"/>
      <c r="D215" s="108"/>
      <c r="E215" s="109"/>
      <c r="F215" s="4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70">
        <v>1</v>
      </c>
      <c r="R215" s="24"/>
      <c r="S215" s="22">
        <f t="shared" si="82"/>
        <v>1</v>
      </c>
      <c r="T215" s="24"/>
      <c r="U215" s="24"/>
      <c r="V215" s="24"/>
      <c r="W215" s="24"/>
      <c r="X215" s="24"/>
      <c r="Y215" s="24"/>
      <c r="Z215" s="24"/>
      <c r="AA215" s="103"/>
      <c r="AB215" s="103"/>
      <c r="AC215" s="103"/>
      <c r="AD215" s="103"/>
    </row>
    <row r="216" spans="1:30" s="25" customFormat="1" x14ac:dyDescent="0.2">
      <c r="A216" s="83"/>
      <c r="B216" s="107" t="s">
        <v>244</v>
      </c>
      <c r="C216" s="108"/>
      <c r="D216" s="108"/>
      <c r="E216" s="109"/>
      <c r="F216" s="4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70">
        <v>1</v>
      </c>
      <c r="R216" s="24"/>
      <c r="S216" s="22">
        <f t="shared" si="82"/>
        <v>1</v>
      </c>
      <c r="T216" s="24"/>
      <c r="U216" s="24"/>
      <c r="V216" s="24"/>
      <c r="W216" s="24"/>
      <c r="X216" s="24"/>
      <c r="Y216" s="24"/>
      <c r="Z216" s="24"/>
      <c r="AA216" s="103"/>
      <c r="AB216" s="103"/>
      <c r="AC216" s="103"/>
      <c r="AD216" s="103"/>
    </row>
    <row r="217" spans="1:30" s="25" customFormat="1" x14ac:dyDescent="0.2">
      <c r="A217" s="83"/>
      <c r="B217" s="107" t="s">
        <v>245</v>
      </c>
      <c r="C217" s="108"/>
      <c r="D217" s="108"/>
      <c r="E217" s="109"/>
      <c r="F217" s="4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70">
        <v>1</v>
      </c>
      <c r="S217" s="22">
        <f t="shared" si="82"/>
        <v>1</v>
      </c>
      <c r="T217" s="24"/>
      <c r="U217" s="24"/>
      <c r="V217" s="24"/>
      <c r="W217" s="24"/>
      <c r="X217" s="24"/>
      <c r="Y217" s="24"/>
      <c r="Z217" s="24"/>
      <c r="AA217" s="103"/>
      <c r="AB217" s="103"/>
      <c r="AC217" s="103"/>
      <c r="AD217" s="103"/>
    </row>
    <row r="218" spans="1:30" s="25" customFormat="1" x14ac:dyDescent="0.2">
      <c r="A218" s="83"/>
      <c r="B218" s="107" t="s">
        <v>246</v>
      </c>
      <c r="C218" s="108"/>
      <c r="D218" s="108"/>
      <c r="E218" s="109"/>
      <c r="F218" s="4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70">
        <v>1</v>
      </c>
      <c r="S218" s="22">
        <f t="shared" si="82"/>
        <v>1</v>
      </c>
      <c r="T218" s="24"/>
      <c r="U218" s="24"/>
      <c r="V218" s="24"/>
      <c r="W218" s="24"/>
      <c r="X218" s="24"/>
      <c r="Y218" s="24"/>
      <c r="Z218" s="24"/>
      <c r="AA218" s="103"/>
      <c r="AB218" s="103"/>
      <c r="AC218" s="103"/>
      <c r="AD218" s="103"/>
    </row>
    <row r="219" spans="1:30" ht="28" customHeight="1" x14ac:dyDescent="0.2">
      <c r="A219" s="92" t="s">
        <v>247</v>
      </c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4"/>
      <c r="AA219" s="54"/>
      <c r="AB219" s="54"/>
      <c r="AC219" s="54"/>
      <c r="AD219" s="54"/>
    </row>
    <row r="220" spans="1:30" s="19" customFormat="1" ht="28" customHeight="1" x14ac:dyDescent="0.2">
      <c r="A220" s="12"/>
      <c r="B220" s="12"/>
      <c r="C220" s="12"/>
      <c r="D220" s="12"/>
      <c r="E220" s="12"/>
      <c r="F220" s="13"/>
      <c r="G220" s="28">
        <f>(G221+G224+G227+G230+G233)*100/$S$220</f>
        <v>8.3333333333333339</v>
      </c>
      <c r="H220" s="28">
        <f t="shared" ref="H220:Q220" si="83">(H221+H224+H227+H230+H233)*100/$S$220</f>
        <v>16.666666666666668</v>
      </c>
      <c r="I220" s="28">
        <f t="shared" si="83"/>
        <v>25</v>
      </c>
      <c r="J220" s="28">
        <f t="shared" si="83"/>
        <v>33.333333333333336</v>
      </c>
      <c r="K220" s="28">
        <f t="shared" si="83"/>
        <v>41.666666666666664</v>
      </c>
      <c r="L220" s="28">
        <f t="shared" si="83"/>
        <v>50</v>
      </c>
      <c r="M220" s="28">
        <f t="shared" si="83"/>
        <v>58.333333333333336</v>
      </c>
      <c r="N220" s="28">
        <f t="shared" si="83"/>
        <v>66.666666666666671</v>
      </c>
      <c r="O220" s="28">
        <f t="shared" si="83"/>
        <v>75</v>
      </c>
      <c r="P220" s="28">
        <f t="shared" si="83"/>
        <v>83.333333333333329</v>
      </c>
      <c r="Q220" s="28">
        <f t="shared" si="83"/>
        <v>91.666666666666671</v>
      </c>
      <c r="R220" s="28">
        <f>(R221+R224+R227+R230+R233)*100/$S$220</f>
        <v>100</v>
      </c>
      <c r="S220" s="14">
        <v>500</v>
      </c>
      <c r="T220" s="15"/>
      <c r="U220" s="16" t="s">
        <v>28</v>
      </c>
      <c r="V220" s="17"/>
      <c r="W220" s="17"/>
      <c r="X220" s="17"/>
      <c r="Y220" s="17"/>
      <c r="Z220" s="18"/>
      <c r="AA220" s="55"/>
      <c r="AB220" s="55"/>
      <c r="AC220" s="55"/>
      <c r="AD220" s="55"/>
    </row>
    <row r="221" spans="1:30" x14ac:dyDescent="0.2">
      <c r="A221" s="82"/>
      <c r="B221" s="85" t="s">
        <v>248</v>
      </c>
      <c r="C221" s="85"/>
      <c r="D221" s="85"/>
      <c r="E221" s="85"/>
      <c r="F221" s="21"/>
      <c r="G221" s="80">
        <f>(G222*100)/$S$7</f>
        <v>8.3333333333333339</v>
      </c>
      <c r="H221" s="80">
        <f t="shared" ref="H221:M221" si="84">(H222*100)/$S$7</f>
        <v>16.666666666666668</v>
      </c>
      <c r="I221" s="80">
        <f t="shared" si="84"/>
        <v>25</v>
      </c>
      <c r="J221" s="80">
        <f t="shared" si="84"/>
        <v>33.333333333333336</v>
      </c>
      <c r="K221" s="80">
        <f t="shared" si="84"/>
        <v>41.666666666666664</v>
      </c>
      <c r="L221" s="80">
        <f t="shared" si="84"/>
        <v>50</v>
      </c>
      <c r="M221" s="80">
        <f t="shared" si="84"/>
        <v>58.333333333333336</v>
      </c>
      <c r="N221" s="80">
        <f>(N222*100)/$S$7</f>
        <v>66.666666666666671</v>
      </c>
      <c r="O221" s="80">
        <f t="shared" ref="O221:Q221" si="85">(O222*100)/$S$7</f>
        <v>75</v>
      </c>
      <c r="P221" s="80">
        <f t="shared" si="85"/>
        <v>83.333333333333329</v>
      </c>
      <c r="Q221" s="80">
        <f t="shared" si="85"/>
        <v>91.666666666666671</v>
      </c>
      <c r="R221" s="80">
        <f>(R222*100)/$S$7</f>
        <v>100</v>
      </c>
      <c r="S221" s="22"/>
      <c r="T221" s="22"/>
      <c r="U221" s="22"/>
      <c r="V221" s="22"/>
      <c r="W221" s="22"/>
      <c r="X221" s="22"/>
      <c r="Y221" s="22"/>
      <c r="Z221" s="22"/>
      <c r="AA221" s="86"/>
      <c r="AB221" s="87"/>
      <c r="AC221" s="88"/>
      <c r="AD221" s="88"/>
    </row>
    <row r="222" spans="1:30" ht="22" hidden="1" customHeight="1" x14ac:dyDescent="0.2">
      <c r="A222" s="83"/>
      <c r="B222" s="20"/>
      <c r="C222" s="20"/>
      <c r="D222" s="20"/>
      <c r="E222" s="20"/>
      <c r="F222" s="21"/>
      <c r="G222" s="77">
        <f>G223</f>
        <v>1</v>
      </c>
      <c r="H222" s="77">
        <f>G222+H223</f>
        <v>2</v>
      </c>
      <c r="I222" s="77">
        <f t="shared" ref="I222:R222" si="86">H222+I223</f>
        <v>3</v>
      </c>
      <c r="J222" s="77">
        <f t="shared" si="86"/>
        <v>4</v>
      </c>
      <c r="K222" s="77">
        <f t="shared" si="86"/>
        <v>5</v>
      </c>
      <c r="L222" s="77">
        <f t="shared" si="86"/>
        <v>6</v>
      </c>
      <c r="M222" s="77">
        <f t="shared" si="86"/>
        <v>7</v>
      </c>
      <c r="N222" s="77">
        <f t="shared" si="86"/>
        <v>8</v>
      </c>
      <c r="O222" s="77">
        <f t="shared" si="86"/>
        <v>9</v>
      </c>
      <c r="P222" s="77">
        <f t="shared" si="86"/>
        <v>10</v>
      </c>
      <c r="Q222" s="77">
        <f t="shared" si="86"/>
        <v>11</v>
      </c>
      <c r="R222" s="77">
        <f t="shared" si="86"/>
        <v>12</v>
      </c>
      <c r="S222" s="22">
        <f>R222</f>
        <v>12</v>
      </c>
      <c r="T222" s="22"/>
      <c r="U222" s="22"/>
      <c r="V222" s="22"/>
      <c r="W222" s="22"/>
      <c r="X222" s="22"/>
      <c r="Y222" s="22"/>
      <c r="Z222" s="22"/>
      <c r="AA222" s="86"/>
      <c r="AB222" s="87"/>
      <c r="AC222" s="89"/>
      <c r="AD222" s="89"/>
    </row>
    <row r="223" spans="1:30" ht="25" customHeight="1" x14ac:dyDescent="0.2">
      <c r="A223" s="83"/>
      <c r="B223" s="90"/>
      <c r="C223" s="90"/>
      <c r="D223" s="90"/>
      <c r="E223" s="90"/>
      <c r="F223" s="21"/>
      <c r="G223" s="69">
        <v>1</v>
      </c>
      <c r="H223" s="69">
        <v>1</v>
      </c>
      <c r="I223" s="69">
        <v>1</v>
      </c>
      <c r="J223" s="69">
        <v>1</v>
      </c>
      <c r="K223" s="69">
        <v>1</v>
      </c>
      <c r="L223" s="69">
        <v>1</v>
      </c>
      <c r="M223" s="69">
        <v>1</v>
      </c>
      <c r="N223" s="69">
        <v>1</v>
      </c>
      <c r="O223" s="69">
        <v>1</v>
      </c>
      <c r="P223" s="69">
        <v>1</v>
      </c>
      <c r="Q223" s="69">
        <v>1</v>
      </c>
      <c r="R223" s="69">
        <v>1</v>
      </c>
      <c r="S223" s="22">
        <f>SUM(G223:R223)</f>
        <v>12</v>
      </c>
      <c r="T223" s="22"/>
      <c r="U223" s="22"/>
      <c r="V223" s="22"/>
      <c r="W223" s="22"/>
      <c r="X223" s="22"/>
      <c r="Y223" s="22"/>
      <c r="Z223" s="22"/>
      <c r="AA223" s="86"/>
      <c r="AB223" s="87"/>
      <c r="AC223" s="89"/>
      <c r="AD223" s="89"/>
    </row>
    <row r="224" spans="1:30" s="25" customFormat="1" x14ac:dyDescent="0.2">
      <c r="A224" s="83"/>
      <c r="B224" s="85" t="s">
        <v>249</v>
      </c>
      <c r="C224" s="85"/>
      <c r="D224" s="85"/>
      <c r="E224" s="85"/>
      <c r="F224" s="21"/>
      <c r="G224" s="80">
        <f>(G225*100)/$S$7</f>
        <v>8.3333333333333339</v>
      </c>
      <c r="H224" s="80">
        <f t="shared" ref="H224:M224" si="87">(H225*100)/$S$7</f>
        <v>16.666666666666668</v>
      </c>
      <c r="I224" s="80">
        <f t="shared" si="87"/>
        <v>25</v>
      </c>
      <c r="J224" s="80">
        <f t="shared" si="87"/>
        <v>33.333333333333336</v>
      </c>
      <c r="K224" s="80">
        <f t="shared" si="87"/>
        <v>41.666666666666664</v>
      </c>
      <c r="L224" s="80">
        <f t="shared" si="87"/>
        <v>50</v>
      </c>
      <c r="M224" s="80">
        <f t="shared" si="87"/>
        <v>58.333333333333336</v>
      </c>
      <c r="N224" s="80">
        <f>(N225*100)/$S$7</f>
        <v>66.666666666666671</v>
      </c>
      <c r="O224" s="80">
        <f t="shared" ref="O224:Q224" si="88">(O225*100)/$S$7</f>
        <v>75</v>
      </c>
      <c r="P224" s="80">
        <f t="shared" si="88"/>
        <v>83.333333333333329</v>
      </c>
      <c r="Q224" s="80">
        <f t="shared" si="88"/>
        <v>91.666666666666671</v>
      </c>
      <c r="R224" s="80">
        <f>(R225*100)/$S$7</f>
        <v>100</v>
      </c>
      <c r="S224" s="24"/>
      <c r="T224" s="24"/>
      <c r="U224" s="24"/>
      <c r="V224" s="24"/>
      <c r="W224" s="24"/>
      <c r="X224" s="24"/>
      <c r="Y224" s="24"/>
      <c r="Z224" s="24"/>
      <c r="AA224" s="87"/>
      <c r="AB224" s="88"/>
      <c r="AC224" s="88"/>
      <c r="AD224" s="88"/>
    </row>
    <row r="225" spans="1:30" s="25" customFormat="1" ht="26" hidden="1" customHeight="1" x14ac:dyDescent="0.2">
      <c r="A225" s="83"/>
      <c r="B225" s="20"/>
      <c r="C225" s="20"/>
      <c r="D225" s="20"/>
      <c r="E225" s="20"/>
      <c r="F225" s="21"/>
      <c r="G225" s="77">
        <f>G226</f>
        <v>1</v>
      </c>
      <c r="H225" s="77">
        <f>G225+H226</f>
        <v>2</v>
      </c>
      <c r="I225" s="77">
        <f t="shared" ref="I225:R225" si="89">H225+I226</f>
        <v>3</v>
      </c>
      <c r="J225" s="77">
        <f t="shared" si="89"/>
        <v>4</v>
      </c>
      <c r="K225" s="77">
        <f t="shared" si="89"/>
        <v>5</v>
      </c>
      <c r="L225" s="77">
        <f t="shared" si="89"/>
        <v>6</v>
      </c>
      <c r="M225" s="77">
        <f t="shared" si="89"/>
        <v>7</v>
      </c>
      <c r="N225" s="77">
        <f t="shared" si="89"/>
        <v>8</v>
      </c>
      <c r="O225" s="77">
        <f t="shared" si="89"/>
        <v>9</v>
      </c>
      <c r="P225" s="77">
        <f t="shared" si="89"/>
        <v>10</v>
      </c>
      <c r="Q225" s="77">
        <f t="shared" si="89"/>
        <v>11</v>
      </c>
      <c r="R225" s="77">
        <f t="shared" si="89"/>
        <v>12</v>
      </c>
      <c r="S225" s="22">
        <f>R225</f>
        <v>12</v>
      </c>
      <c r="T225" s="24"/>
      <c r="U225" s="24"/>
      <c r="V225" s="24"/>
      <c r="W225" s="24"/>
      <c r="X225" s="24"/>
      <c r="Y225" s="24"/>
      <c r="Z225" s="24"/>
      <c r="AA225" s="87"/>
      <c r="AB225" s="89"/>
      <c r="AC225" s="89"/>
      <c r="AD225" s="89"/>
    </row>
    <row r="226" spans="1:30" s="25" customFormat="1" ht="21" customHeight="1" x14ac:dyDescent="0.2">
      <c r="A226" s="83"/>
      <c r="B226" s="95"/>
      <c r="C226" s="96"/>
      <c r="D226" s="96"/>
      <c r="E226" s="97"/>
      <c r="F226" s="21"/>
      <c r="G226" s="69">
        <v>1</v>
      </c>
      <c r="H226" s="69">
        <v>1</v>
      </c>
      <c r="I226" s="69">
        <v>1</v>
      </c>
      <c r="J226" s="69">
        <v>1</v>
      </c>
      <c r="K226" s="69">
        <v>1</v>
      </c>
      <c r="L226" s="69">
        <v>1</v>
      </c>
      <c r="M226" s="69">
        <v>1</v>
      </c>
      <c r="N226" s="69">
        <v>1</v>
      </c>
      <c r="O226" s="69">
        <v>1</v>
      </c>
      <c r="P226" s="69">
        <v>1</v>
      </c>
      <c r="Q226" s="69">
        <v>1</v>
      </c>
      <c r="R226" s="69">
        <v>1</v>
      </c>
      <c r="S226" s="22">
        <f t="shared" ref="S226" si="90">SUM(G226:R226)</f>
        <v>12</v>
      </c>
      <c r="T226" s="24"/>
      <c r="U226" s="24"/>
      <c r="V226" s="24"/>
      <c r="W226" s="24"/>
      <c r="X226" s="24"/>
      <c r="Y226" s="24"/>
      <c r="Z226" s="24"/>
      <c r="AA226" s="87"/>
      <c r="AB226" s="89"/>
      <c r="AC226" s="89"/>
      <c r="AD226" s="89"/>
    </row>
    <row r="227" spans="1:30" s="25" customFormat="1" ht="49" customHeight="1" x14ac:dyDescent="0.2">
      <c r="A227" s="83"/>
      <c r="B227" s="85" t="s">
        <v>250</v>
      </c>
      <c r="C227" s="85"/>
      <c r="D227" s="85"/>
      <c r="E227" s="85"/>
      <c r="F227" s="21"/>
      <c r="G227" s="80">
        <f>(G228*100)/$S$7</f>
        <v>8.3333333333333339</v>
      </c>
      <c r="H227" s="80">
        <f t="shared" ref="H227:M227" si="91">(H228*100)/$S$7</f>
        <v>16.666666666666668</v>
      </c>
      <c r="I227" s="80">
        <f t="shared" si="91"/>
        <v>25</v>
      </c>
      <c r="J227" s="80">
        <f t="shared" si="91"/>
        <v>33.333333333333336</v>
      </c>
      <c r="K227" s="80">
        <f t="shared" si="91"/>
        <v>41.666666666666664</v>
      </c>
      <c r="L227" s="80">
        <f t="shared" si="91"/>
        <v>50</v>
      </c>
      <c r="M227" s="80">
        <f t="shared" si="91"/>
        <v>58.333333333333336</v>
      </c>
      <c r="N227" s="80">
        <f>(N228*100)/$S$7</f>
        <v>66.666666666666671</v>
      </c>
      <c r="O227" s="80">
        <f t="shared" ref="O227:Q227" si="92">(O228*100)/$S$7</f>
        <v>75</v>
      </c>
      <c r="P227" s="80">
        <f t="shared" si="92"/>
        <v>83.333333333333329</v>
      </c>
      <c r="Q227" s="80">
        <f t="shared" si="92"/>
        <v>91.666666666666671</v>
      </c>
      <c r="R227" s="80">
        <f>(R228*100)/$S$7</f>
        <v>100</v>
      </c>
      <c r="S227" s="24"/>
      <c r="T227" s="24"/>
      <c r="U227" s="24"/>
      <c r="V227" s="24"/>
      <c r="W227" s="24"/>
      <c r="X227" s="24"/>
      <c r="Y227" s="24"/>
      <c r="Z227" s="24"/>
      <c r="AA227" s="87"/>
      <c r="AB227" s="89"/>
      <c r="AC227" s="89"/>
      <c r="AD227" s="89"/>
    </row>
    <row r="228" spans="1:30" s="25" customFormat="1" ht="10" hidden="1" customHeight="1" x14ac:dyDescent="0.2">
      <c r="A228" s="83"/>
      <c r="B228" s="20"/>
      <c r="C228" s="20"/>
      <c r="D228" s="20"/>
      <c r="E228" s="20"/>
      <c r="F228" s="21"/>
      <c r="G228" s="77">
        <f>G229</f>
        <v>1</v>
      </c>
      <c r="H228" s="77">
        <f>G228+H229</f>
        <v>2</v>
      </c>
      <c r="I228" s="77">
        <f t="shared" ref="I228:R228" si="93">H228+I229</f>
        <v>3</v>
      </c>
      <c r="J228" s="77">
        <f t="shared" si="93"/>
        <v>4</v>
      </c>
      <c r="K228" s="77">
        <f t="shared" si="93"/>
        <v>5</v>
      </c>
      <c r="L228" s="77">
        <f t="shared" si="93"/>
        <v>6</v>
      </c>
      <c r="M228" s="77">
        <f t="shared" si="93"/>
        <v>7</v>
      </c>
      <c r="N228" s="77">
        <f t="shared" si="93"/>
        <v>8</v>
      </c>
      <c r="O228" s="77">
        <f t="shared" si="93"/>
        <v>9</v>
      </c>
      <c r="P228" s="77">
        <f t="shared" si="93"/>
        <v>10</v>
      </c>
      <c r="Q228" s="77">
        <f t="shared" si="93"/>
        <v>11</v>
      </c>
      <c r="R228" s="77">
        <f t="shared" si="93"/>
        <v>12</v>
      </c>
      <c r="S228" s="22">
        <f>R228</f>
        <v>12</v>
      </c>
      <c r="T228" s="24"/>
      <c r="U228" s="24"/>
      <c r="V228" s="24"/>
      <c r="W228" s="24"/>
      <c r="X228" s="24"/>
      <c r="Y228" s="24"/>
      <c r="Z228" s="24"/>
      <c r="AA228" s="56"/>
      <c r="AB228" s="56"/>
      <c r="AC228" s="56"/>
      <c r="AD228" s="56"/>
    </row>
    <row r="229" spans="1:30" ht="25" customHeight="1" x14ac:dyDescent="0.2">
      <c r="A229" s="83"/>
      <c r="B229" s="98"/>
      <c r="C229" s="99"/>
      <c r="D229" s="99"/>
      <c r="E229" s="100"/>
      <c r="F229" s="21"/>
      <c r="G229" s="69">
        <v>1</v>
      </c>
      <c r="H229" s="69">
        <v>1</v>
      </c>
      <c r="I229" s="69">
        <v>1</v>
      </c>
      <c r="J229" s="69">
        <v>1</v>
      </c>
      <c r="K229" s="69">
        <v>1</v>
      </c>
      <c r="L229" s="69">
        <v>1</v>
      </c>
      <c r="M229" s="69">
        <v>1</v>
      </c>
      <c r="N229" s="69">
        <v>1</v>
      </c>
      <c r="O229" s="69">
        <v>1</v>
      </c>
      <c r="P229" s="69">
        <v>1</v>
      </c>
      <c r="Q229" s="69">
        <v>1</v>
      </c>
      <c r="R229" s="69">
        <v>1</v>
      </c>
      <c r="S229" s="22">
        <f t="shared" ref="S229" si="94">SUM(G229:R229)</f>
        <v>12</v>
      </c>
      <c r="T229" s="22"/>
      <c r="U229" s="22"/>
      <c r="V229" s="22"/>
      <c r="W229" s="22"/>
      <c r="X229" s="22"/>
      <c r="Y229" s="22"/>
      <c r="Z229" s="22"/>
      <c r="AA229" s="61"/>
      <c r="AB229" s="58"/>
      <c r="AC229" s="58"/>
      <c r="AD229" s="58"/>
    </row>
    <row r="230" spans="1:30" ht="22" customHeight="1" x14ac:dyDescent="0.2">
      <c r="A230" s="82"/>
      <c r="B230" s="85" t="s">
        <v>251</v>
      </c>
      <c r="C230" s="85"/>
      <c r="D230" s="85"/>
      <c r="E230" s="85"/>
      <c r="F230" s="21"/>
      <c r="G230" s="80">
        <f>(G231*100)/$S$7</f>
        <v>8.3333333333333339</v>
      </c>
      <c r="H230" s="80">
        <f t="shared" ref="H230:M230" si="95">(H231*100)/$S$7</f>
        <v>16.666666666666668</v>
      </c>
      <c r="I230" s="80">
        <f t="shared" si="95"/>
        <v>25</v>
      </c>
      <c r="J230" s="80">
        <f t="shared" si="95"/>
        <v>33.333333333333336</v>
      </c>
      <c r="K230" s="80">
        <f t="shared" si="95"/>
        <v>41.666666666666664</v>
      </c>
      <c r="L230" s="80">
        <f t="shared" si="95"/>
        <v>50</v>
      </c>
      <c r="M230" s="80">
        <f t="shared" si="95"/>
        <v>58.333333333333336</v>
      </c>
      <c r="N230" s="80">
        <f>(N231*100)/$S$7</f>
        <v>66.666666666666671</v>
      </c>
      <c r="O230" s="80">
        <f t="shared" ref="O230:Q230" si="96">(O231*100)/$S$7</f>
        <v>75</v>
      </c>
      <c r="P230" s="80">
        <f t="shared" si="96"/>
        <v>83.333333333333329</v>
      </c>
      <c r="Q230" s="80">
        <f t="shared" si="96"/>
        <v>91.666666666666671</v>
      </c>
      <c r="R230" s="80">
        <f>(R231*100)/$S$7</f>
        <v>100</v>
      </c>
      <c r="S230" s="24"/>
      <c r="T230" s="22"/>
      <c r="U230" s="22"/>
      <c r="V230" s="22"/>
      <c r="W230" s="22"/>
      <c r="X230" s="22"/>
      <c r="Y230" s="22"/>
      <c r="Z230" s="22"/>
      <c r="AA230" s="86"/>
      <c r="AB230" s="87"/>
      <c r="AC230" s="88"/>
      <c r="AD230" s="88"/>
    </row>
    <row r="231" spans="1:30" ht="36" hidden="1" customHeight="1" x14ac:dyDescent="0.2">
      <c r="A231" s="83"/>
      <c r="B231" s="20"/>
      <c r="C231" s="20"/>
      <c r="D231" s="20"/>
      <c r="E231" s="20"/>
      <c r="F231" s="21"/>
      <c r="G231" s="77">
        <f>G232</f>
        <v>1</v>
      </c>
      <c r="H231" s="77">
        <f>G231+H232</f>
        <v>2</v>
      </c>
      <c r="I231" s="77">
        <f t="shared" ref="I231:R231" si="97">H231+I232</f>
        <v>3</v>
      </c>
      <c r="J231" s="77">
        <f t="shared" si="97"/>
        <v>4</v>
      </c>
      <c r="K231" s="77">
        <f t="shared" si="97"/>
        <v>5</v>
      </c>
      <c r="L231" s="77">
        <f t="shared" si="97"/>
        <v>6</v>
      </c>
      <c r="M231" s="77">
        <f t="shared" si="97"/>
        <v>7</v>
      </c>
      <c r="N231" s="77">
        <f t="shared" si="97"/>
        <v>8</v>
      </c>
      <c r="O231" s="77">
        <f t="shared" si="97"/>
        <v>9</v>
      </c>
      <c r="P231" s="77">
        <f t="shared" si="97"/>
        <v>10</v>
      </c>
      <c r="Q231" s="77">
        <f t="shared" si="97"/>
        <v>11</v>
      </c>
      <c r="R231" s="77">
        <f t="shared" si="97"/>
        <v>12</v>
      </c>
      <c r="S231" s="22">
        <f>R231</f>
        <v>12</v>
      </c>
      <c r="T231" s="22"/>
      <c r="U231" s="22"/>
      <c r="V231" s="22"/>
      <c r="W231" s="22"/>
      <c r="X231" s="22"/>
      <c r="Y231" s="22"/>
      <c r="Z231" s="22"/>
      <c r="AA231" s="86"/>
      <c r="AB231" s="87"/>
      <c r="AC231" s="89"/>
      <c r="AD231" s="89"/>
    </row>
    <row r="232" spans="1:30" ht="25" customHeight="1" x14ac:dyDescent="0.2">
      <c r="A232" s="83"/>
      <c r="B232" s="90"/>
      <c r="C232" s="90"/>
      <c r="D232" s="90"/>
      <c r="E232" s="90"/>
      <c r="F232" s="21"/>
      <c r="G232" s="69">
        <v>1</v>
      </c>
      <c r="H232" s="69">
        <v>1</v>
      </c>
      <c r="I232" s="69">
        <v>1</v>
      </c>
      <c r="J232" s="69">
        <v>1</v>
      </c>
      <c r="K232" s="69">
        <v>1</v>
      </c>
      <c r="L232" s="69">
        <v>1</v>
      </c>
      <c r="M232" s="69">
        <v>1</v>
      </c>
      <c r="N232" s="69">
        <v>1</v>
      </c>
      <c r="O232" s="69">
        <v>1</v>
      </c>
      <c r="P232" s="69">
        <v>1</v>
      </c>
      <c r="Q232" s="69">
        <v>1</v>
      </c>
      <c r="R232" s="69">
        <v>1</v>
      </c>
      <c r="S232" s="22">
        <f t="shared" ref="S232" si="98">SUM(G232:R232)</f>
        <v>12</v>
      </c>
      <c r="T232" s="22"/>
      <c r="U232" s="22"/>
      <c r="V232" s="22"/>
      <c r="W232" s="22"/>
      <c r="X232" s="22"/>
      <c r="Y232" s="22"/>
      <c r="Z232" s="22"/>
      <c r="AA232" s="86"/>
      <c r="AB232" s="87"/>
      <c r="AC232" s="89"/>
      <c r="AD232" s="89"/>
    </row>
    <row r="233" spans="1:30" ht="27" customHeight="1" x14ac:dyDescent="0.2">
      <c r="A233" s="83"/>
      <c r="B233" s="85" t="s">
        <v>252</v>
      </c>
      <c r="C233" s="85"/>
      <c r="D233" s="85"/>
      <c r="E233" s="85"/>
      <c r="F233" s="21"/>
      <c r="G233" s="80">
        <f>(G234*100)/$S$7</f>
        <v>8.3333333333333339</v>
      </c>
      <c r="H233" s="80">
        <f t="shared" ref="H233:M233" si="99">(H234*100)/$S$7</f>
        <v>16.666666666666668</v>
      </c>
      <c r="I233" s="80">
        <f t="shared" si="99"/>
        <v>25</v>
      </c>
      <c r="J233" s="80">
        <f t="shared" si="99"/>
        <v>33.333333333333336</v>
      </c>
      <c r="K233" s="80">
        <f t="shared" si="99"/>
        <v>41.666666666666664</v>
      </c>
      <c r="L233" s="80">
        <f t="shared" si="99"/>
        <v>50</v>
      </c>
      <c r="M233" s="80">
        <f t="shared" si="99"/>
        <v>58.333333333333336</v>
      </c>
      <c r="N233" s="80">
        <f>(N234*100)/$S$7</f>
        <v>66.666666666666671</v>
      </c>
      <c r="O233" s="80">
        <f t="shared" ref="O233:Q233" si="100">(O234*100)/$S$7</f>
        <v>75</v>
      </c>
      <c r="P233" s="80">
        <f t="shared" si="100"/>
        <v>83.333333333333329</v>
      </c>
      <c r="Q233" s="80">
        <f t="shared" si="100"/>
        <v>91.666666666666671</v>
      </c>
      <c r="R233" s="80">
        <f>(R234*100)/$S$7</f>
        <v>100</v>
      </c>
      <c r="S233" s="24"/>
      <c r="T233" s="22"/>
      <c r="U233" s="22"/>
      <c r="V233" s="22"/>
      <c r="W233" s="22"/>
      <c r="X233" s="22"/>
      <c r="Y233" s="22"/>
      <c r="Z233" s="22"/>
      <c r="AA233" s="60"/>
      <c r="AB233" s="61"/>
      <c r="AC233" s="59"/>
      <c r="AD233" s="59"/>
    </row>
    <row r="234" spans="1:30" ht="23.25" hidden="1" customHeight="1" x14ac:dyDescent="0.2">
      <c r="A234" s="83"/>
      <c r="B234" s="20"/>
      <c r="C234" s="20"/>
      <c r="D234" s="20"/>
      <c r="E234" s="20"/>
      <c r="F234" s="21"/>
      <c r="G234" s="77">
        <f>G235</f>
        <v>1</v>
      </c>
      <c r="H234" s="77">
        <f>G234+H235</f>
        <v>2</v>
      </c>
      <c r="I234" s="77">
        <f t="shared" ref="I234:R234" si="101">H234+I235</f>
        <v>3</v>
      </c>
      <c r="J234" s="77">
        <f t="shared" si="101"/>
        <v>4</v>
      </c>
      <c r="K234" s="77">
        <f t="shared" si="101"/>
        <v>5</v>
      </c>
      <c r="L234" s="77">
        <f t="shared" si="101"/>
        <v>6</v>
      </c>
      <c r="M234" s="77">
        <f t="shared" si="101"/>
        <v>7</v>
      </c>
      <c r="N234" s="77">
        <f t="shared" si="101"/>
        <v>8</v>
      </c>
      <c r="O234" s="77">
        <f t="shared" si="101"/>
        <v>9</v>
      </c>
      <c r="P234" s="77">
        <f t="shared" si="101"/>
        <v>10</v>
      </c>
      <c r="Q234" s="77">
        <f t="shared" si="101"/>
        <v>11</v>
      </c>
      <c r="R234" s="77">
        <f t="shared" si="101"/>
        <v>12</v>
      </c>
      <c r="S234" s="22">
        <f>R234</f>
        <v>12</v>
      </c>
      <c r="T234" s="22"/>
      <c r="U234" s="22"/>
      <c r="V234" s="22"/>
      <c r="W234" s="22"/>
      <c r="X234" s="22"/>
      <c r="Y234" s="22"/>
      <c r="Z234" s="22"/>
      <c r="AA234" s="60"/>
      <c r="AB234" s="61"/>
      <c r="AC234" s="59"/>
      <c r="AD234" s="59"/>
    </row>
    <row r="235" spans="1:30" ht="25" customHeight="1" x14ac:dyDescent="0.2">
      <c r="A235" s="83"/>
      <c r="B235" s="91"/>
      <c r="C235" s="91"/>
      <c r="D235" s="91"/>
      <c r="E235" s="91"/>
      <c r="F235" s="21"/>
      <c r="G235" s="69">
        <v>1</v>
      </c>
      <c r="H235" s="69">
        <v>1</v>
      </c>
      <c r="I235" s="69">
        <v>1</v>
      </c>
      <c r="J235" s="69">
        <v>1</v>
      </c>
      <c r="K235" s="69">
        <v>1</v>
      </c>
      <c r="L235" s="69">
        <v>1</v>
      </c>
      <c r="M235" s="69">
        <v>1</v>
      </c>
      <c r="N235" s="69">
        <v>1</v>
      </c>
      <c r="O235" s="69">
        <v>1</v>
      </c>
      <c r="P235" s="69">
        <v>1</v>
      </c>
      <c r="Q235" s="69">
        <v>1</v>
      </c>
      <c r="R235" s="69">
        <v>1</v>
      </c>
      <c r="S235" s="22">
        <f t="shared" ref="S235" si="102">SUM(G235:R235)</f>
        <v>12</v>
      </c>
      <c r="T235" s="22"/>
      <c r="U235" s="22"/>
      <c r="V235" s="22"/>
      <c r="W235" s="22"/>
      <c r="X235" s="22"/>
      <c r="Y235" s="22"/>
      <c r="Z235" s="22"/>
      <c r="AA235" s="60"/>
      <c r="AB235" s="61"/>
      <c r="AC235" s="59"/>
      <c r="AD235" s="59"/>
    </row>
    <row r="236" spans="1:30" s="25" customFormat="1" ht="18" hidden="1" customHeight="1" x14ac:dyDescent="0.2">
      <c r="A236" s="84"/>
      <c r="B236" s="20"/>
      <c r="C236" s="20"/>
      <c r="D236" s="20"/>
      <c r="E236" s="20"/>
      <c r="F236" s="21"/>
      <c r="G236" s="24"/>
      <c r="H236" s="24"/>
      <c r="I236" s="24"/>
      <c r="J236" s="24"/>
      <c r="K236" s="24"/>
      <c r="L236" s="24"/>
      <c r="M236" s="24" t="e">
        <f>L236+(SUM(#REF!))</f>
        <v>#REF!</v>
      </c>
      <c r="N236" s="24" t="e">
        <f>M236+(SUM(#REF!))</f>
        <v>#REF!</v>
      </c>
      <c r="O236" s="24" t="e">
        <f>N236+SUM(#REF!)</f>
        <v>#REF!</v>
      </c>
      <c r="P236" s="24" t="e">
        <f>O236+SUM(#REF!)</f>
        <v>#REF!</v>
      </c>
      <c r="Q236" s="24" t="e">
        <f>P236+SUM(#REF!)</f>
        <v>#REF!</v>
      </c>
      <c r="R236" s="24" t="e">
        <f>Q236+SUM(#REF!)</f>
        <v>#REF!</v>
      </c>
      <c r="S236" s="22" t="e">
        <f>R236</f>
        <v>#REF!</v>
      </c>
      <c r="T236" s="24"/>
      <c r="U236" s="24"/>
      <c r="V236" s="24"/>
      <c r="W236" s="24"/>
      <c r="X236" s="24"/>
      <c r="Y236" s="24"/>
      <c r="Z236" s="24"/>
      <c r="AA236" s="61"/>
      <c r="AB236" s="59"/>
      <c r="AC236" s="59"/>
      <c r="AD236" s="59"/>
    </row>
  </sheetData>
  <mergeCells count="341">
    <mergeCell ref="A1:Z1"/>
    <mergeCell ref="A2:B3"/>
    <mergeCell ref="C2:C3"/>
    <mergeCell ref="D2:D3"/>
    <mergeCell ref="E2:E3"/>
    <mergeCell ref="G2:R2"/>
    <mergeCell ref="S2:S3"/>
    <mergeCell ref="T2:T3"/>
    <mergeCell ref="U2:U3"/>
    <mergeCell ref="V2:Z2"/>
    <mergeCell ref="AA9:AA12"/>
    <mergeCell ref="AB9:AB12"/>
    <mergeCell ref="AC9:AC12"/>
    <mergeCell ref="AD9:AD12"/>
    <mergeCell ref="B11:E11"/>
    <mergeCell ref="B12:E12"/>
    <mergeCell ref="AA2:AD2"/>
    <mergeCell ref="A4:Z4"/>
    <mergeCell ref="A6:A14"/>
    <mergeCell ref="B6:E6"/>
    <mergeCell ref="AA6:AA8"/>
    <mergeCell ref="AB6:AB8"/>
    <mergeCell ref="AC6:AC8"/>
    <mergeCell ref="AD6:AD8"/>
    <mergeCell ref="B8:E8"/>
    <mergeCell ref="B9:E9"/>
    <mergeCell ref="B14:E14"/>
    <mergeCell ref="A15:A48"/>
    <mergeCell ref="B15:E15"/>
    <mergeCell ref="AA15:AA17"/>
    <mergeCell ref="AB15:AB17"/>
    <mergeCell ref="AC15:AC17"/>
    <mergeCell ref="B24:E24"/>
    <mergeCell ref="B25:E25"/>
    <mergeCell ref="B27:E27"/>
    <mergeCell ref="B28:E28"/>
    <mergeCell ref="B48:E48"/>
    <mergeCell ref="AC20:AC21"/>
    <mergeCell ref="AD15:AD17"/>
    <mergeCell ref="B17:E17"/>
    <mergeCell ref="B18:E18"/>
    <mergeCell ref="B20:E20"/>
    <mergeCell ref="B21:E21"/>
    <mergeCell ref="B22:E22"/>
    <mergeCell ref="AA22:AA46"/>
    <mergeCell ref="AB22:AB46"/>
    <mergeCell ref="AC22:AC46"/>
    <mergeCell ref="AD22:AD46"/>
    <mergeCell ref="B39:E39"/>
    <mergeCell ref="B40:E40"/>
    <mergeCell ref="B42:E42"/>
    <mergeCell ref="B43:E43"/>
    <mergeCell ref="B45:E45"/>
    <mergeCell ref="B46:E46"/>
    <mergeCell ref="B30:E30"/>
    <mergeCell ref="B31:E31"/>
    <mergeCell ref="B33:E33"/>
    <mergeCell ref="B34:E34"/>
    <mergeCell ref="B36:E36"/>
    <mergeCell ref="B37:E37"/>
    <mergeCell ref="B49:E49"/>
    <mergeCell ref="A50:Z50"/>
    <mergeCell ref="A52:A71"/>
    <mergeCell ref="B52:E52"/>
    <mergeCell ref="AA52:AA58"/>
    <mergeCell ref="B59:E59"/>
    <mergeCell ref="AA59:AA65"/>
    <mergeCell ref="B67:E67"/>
    <mergeCell ref="AA67:AA71"/>
    <mergeCell ref="AB59:AB65"/>
    <mergeCell ref="AC59:AC65"/>
    <mergeCell ref="AD59:AD65"/>
    <mergeCell ref="B61:E61"/>
    <mergeCell ref="B62:E62"/>
    <mergeCell ref="B63:E63"/>
    <mergeCell ref="B64:E64"/>
    <mergeCell ref="B65:E65"/>
    <mergeCell ref="AB52:AB58"/>
    <mergeCell ref="AC52:AC58"/>
    <mergeCell ref="AD52:AD58"/>
    <mergeCell ref="B54:E54"/>
    <mergeCell ref="B55:E55"/>
    <mergeCell ref="B56:E56"/>
    <mergeCell ref="B57:E57"/>
    <mergeCell ref="B58:E58"/>
    <mergeCell ref="B77:E77"/>
    <mergeCell ref="B78:E78"/>
    <mergeCell ref="AB67:AB71"/>
    <mergeCell ref="AC67:AC71"/>
    <mergeCell ref="AD67:AD71"/>
    <mergeCell ref="B68:E68"/>
    <mergeCell ref="B69:E69"/>
    <mergeCell ref="B70:E70"/>
    <mergeCell ref="B71:E71"/>
    <mergeCell ref="AA78:AA85"/>
    <mergeCell ref="AB78:AB85"/>
    <mergeCell ref="AC78:AC85"/>
    <mergeCell ref="AD78:AD85"/>
    <mergeCell ref="B80:E80"/>
    <mergeCell ref="B81:E81"/>
    <mergeCell ref="B82:E82"/>
    <mergeCell ref="B83:E83"/>
    <mergeCell ref="B84:E84"/>
    <mergeCell ref="B85:E85"/>
    <mergeCell ref="B86:E86"/>
    <mergeCell ref="AA86:AA91"/>
    <mergeCell ref="AB86:AB91"/>
    <mergeCell ref="AC86:AC91"/>
    <mergeCell ref="AD86:AD91"/>
    <mergeCell ref="B88:E88"/>
    <mergeCell ref="B89:E89"/>
    <mergeCell ref="B90:E90"/>
    <mergeCell ref="B91:E91"/>
    <mergeCell ref="B92:E92"/>
    <mergeCell ref="AA92:AA97"/>
    <mergeCell ref="AB92:AB97"/>
    <mergeCell ref="AC92:AC97"/>
    <mergeCell ref="AD92:AD97"/>
    <mergeCell ref="B94:E94"/>
    <mergeCell ref="B95:E95"/>
    <mergeCell ref="B96:E96"/>
    <mergeCell ref="B97:E97"/>
    <mergeCell ref="B98:E98"/>
    <mergeCell ref="AA98:AA103"/>
    <mergeCell ref="AB98:AB103"/>
    <mergeCell ref="AC98:AC103"/>
    <mergeCell ref="AD98:AD103"/>
    <mergeCell ref="B100:E100"/>
    <mergeCell ref="B101:E101"/>
    <mergeCell ref="B102:E102"/>
    <mergeCell ref="B103:E103"/>
    <mergeCell ref="B104:E104"/>
    <mergeCell ref="AA104:AA111"/>
    <mergeCell ref="AB104:AB111"/>
    <mergeCell ref="AC104:AC111"/>
    <mergeCell ref="AD104:AD111"/>
    <mergeCell ref="B106:E106"/>
    <mergeCell ref="B107:E107"/>
    <mergeCell ref="B108:E108"/>
    <mergeCell ref="B109:E109"/>
    <mergeCell ref="B110:E110"/>
    <mergeCell ref="AD113:AD119"/>
    <mergeCell ref="B115:E115"/>
    <mergeCell ref="B116:E116"/>
    <mergeCell ref="B117:E117"/>
    <mergeCell ref="B118:E118"/>
    <mergeCell ref="B119:E119"/>
    <mergeCell ref="B111:E111"/>
    <mergeCell ref="A113:A145"/>
    <mergeCell ref="B113:E113"/>
    <mergeCell ref="AA113:AA119"/>
    <mergeCell ref="AB113:AB119"/>
    <mergeCell ref="AC113:AC119"/>
    <mergeCell ref="B120:E120"/>
    <mergeCell ref="AA120:AA124"/>
    <mergeCell ref="AB120:AB124"/>
    <mergeCell ref="AC120:AC124"/>
    <mergeCell ref="A73:A111"/>
    <mergeCell ref="B73:E73"/>
    <mergeCell ref="AA73:AA77"/>
    <mergeCell ref="AB73:AB77"/>
    <mergeCell ref="AC73:AC77"/>
    <mergeCell ref="AD73:AD77"/>
    <mergeCell ref="B75:E75"/>
    <mergeCell ref="B76:E76"/>
    <mergeCell ref="AD120:AD124"/>
    <mergeCell ref="B122:E122"/>
    <mergeCell ref="B123:E123"/>
    <mergeCell ref="B124:E124"/>
    <mergeCell ref="B125:E125"/>
    <mergeCell ref="AA125:AA128"/>
    <mergeCell ref="AB125:AB128"/>
    <mergeCell ref="AC125:AC128"/>
    <mergeCell ref="AD125:AD128"/>
    <mergeCell ref="B127:E127"/>
    <mergeCell ref="B133:E133"/>
    <mergeCell ref="AA133:AA135"/>
    <mergeCell ref="AB133:AB135"/>
    <mergeCell ref="AC133:AC135"/>
    <mergeCell ref="AD133:AD135"/>
    <mergeCell ref="B135:E135"/>
    <mergeCell ref="B128:E128"/>
    <mergeCell ref="B129:E129"/>
    <mergeCell ref="AA129:AA132"/>
    <mergeCell ref="AB129:AB132"/>
    <mergeCell ref="AC129:AC132"/>
    <mergeCell ref="AD129:AD132"/>
    <mergeCell ref="B131:E131"/>
    <mergeCell ref="B132:E132"/>
    <mergeCell ref="B141:E141"/>
    <mergeCell ref="AA141:AA145"/>
    <mergeCell ref="AB141:AB145"/>
    <mergeCell ref="AC141:AC145"/>
    <mergeCell ref="AD141:AD145"/>
    <mergeCell ref="B143:E143"/>
    <mergeCell ref="B144:E144"/>
    <mergeCell ref="B145:E145"/>
    <mergeCell ref="B136:E136"/>
    <mergeCell ref="AA136:AA140"/>
    <mergeCell ref="AB136:AB140"/>
    <mergeCell ref="AC136:AC140"/>
    <mergeCell ref="AD136:AD140"/>
    <mergeCell ref="B138:E138"/>
    <mergeCell ref="B139:E139"/>
    <mergeCell ref="B140:E140"/>
    <mergeCell ref="AA152:AA155"/>
    <mergeCell ref="AB152:AB155"/>
    <mergeCell ref="AC152:AC155"/>
    <mergeCell ref="AD152:AD155"/>
    <mergeCell ref="B154:E154"/>
    <mergeCell ref="B155:E155"/>
    <mergeCell ref="A147:A180"/>
    <mergeCell ref="B147:E147"/>
    <mergeCell ref="AA147:AA151"/>
    <mergeCell ref="AB147:AB151"/>
    <mergeCell ref="AC147:AC151"/>
    <mergeCell ref="AD147:AD151"/>
    <mergeCell ref="B149:E149"/>
    <mergeCell ref="B150:E150"/>
    <mergeCell ref="B151:E151"/>
    <mergeCell ref="B152:E152"/>
    <mergeCell ref="B160:E160"/>
    <mergeCell ref="AA160:AA163"/>
    <mergeCell ref="AB160:AB163"/>
    <mergeCell ref="AC160:AC163"/>
    <mergeCell ref="AD160:AD163"/>
    <mergeCell ref="B162:E162"/>
    <mergeCell ref="B163:E163"/>
    <mergeCell ref="B156:E156"/>
    <mergeCell ref="AA156:AA159"/>
    <mergeCell ref="AB156:AB159"/>
    <mergeCell ref="AC156:AC159"/>
    <mergeCell ref="AD156:AD159"/>
    <mergeCell ref="B158:E158"/>
    <mergeCell ref="B159:E159"/>
    <mergeCell ref="B167:E167"/>
    <mergeCell ref="AA167:AA171"/>
    <mergeCell ref="AB167:AB171"/>
    <mergeCell ref="AC167:AC171"/>
    <mergeCell ref="AD167:AD171"/>
    <mergeCell ref="B169:E169"/>
    <mergeCell ref="B170:E170"/>
    <mergeCell ref="B171:E171"/>
    <mergeCell ref="B164:E164"/>
    <mergeCell ref="AA164:AA166"/>
    <mergeCell ref="AB164:AB166"/>
    <mergeCell ref="AC164:AC166"/>
    <mergeCell ref="AD164:AD166"/>
    <mergeCell ref="B166:E166"/>
    <mergeCell ref="B175:E175"/>
    <mergeCell ref="AA175:AA180"/>
    <mergeCell ref="AB175:AB180"/>
    <mergeCell ref="AC175:AC180"/>
    <mergeCell ref="AD175:AD180"/>
    <mergeCell ref="B177:E177"/>
    <mergeCell ref="B178:E178"/>
    <mergeCell ref="B180:E180"/>
    <mergeCell ref="B172:E172"/>
    <mergeCell ref="AA172:AA174"/>
    <mergeCell ref="AB172:AB174"/>
    <mergeCell ref="AC172:AC174"/>
    <mergeCell ref="AD172:AD174"/>
    <mergeCell ref="B174:E174"/>
    <mergeCell ref="AB189:AB194"/>
    <mergeCell ref="AC189:AC194"/>
    <mergeCell ref="AD189:AD194"/>
    <mergeCell ref="B191:E191"/>
    <mergeCell ref="B192:E192"/>
    <mergeCell ref="B193:E193"/>
    <mergeCell ref="B194:E194"/>
    <mergeCell ref="AA182:AA188"/>
    <mergeCell ref="AB182:AB188"/>
    <mergeCell ref="AC182:AC188"/>
    <mergeCell ref="AD182:AD188"/>
    <mergeCell ref="B184:E184"/>
    <mergeCell ref="B185:E185"/>
    <mergeCell ref="B186:E186"/>
    <mergeCell ref="B187:E187"/>
    <mergeCell ref="AB202:AB207"/>
    <mergeCell ref="AC202:AC207"/>
    <mergeCell ref="AD202:AD207"/>
    <mergeCell ref="B204:E204"/>
    <mergeCell ref="B205:E205"/>
    <mergeCell ref="B206:E206"/>
    <mergeCell ref="B207:E207"/>
    <mergeCell ref="B195:E195"/>
    <mergeCell ref="AA195:AA201"/>
    <mergeCell ref="AB195:AB201"/>
    <mergeCell ref="AC195:AC201"/>
    <mergeCell ref="AD195:AD201"/>
    <mergeCell ref="B197:E197"/>
    <mergeCell ref="B198:E198"/>
    <mergeCell ref="B199:E199"/>
    <mergeCell ref="B200:E200"/>
    <mergeCell ref="B201:E201"/>
    <mergeCell ref="AB208:AB218"/>
    <mergeCell ref="AC208:AC218"/>
    <mergeCell ref="AD208:AD218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A219:Z219"/>
    <mergeCell ref="A221:A229"/>
    <mergeCell ref="B221:E221"/>
    <mergeCell ref="B226:E226"/>
    <mergeCell ref="B227:E227"/>
    <mergeCell ref="B229:E229"/>
    <mergeCell ref="A182:A218"/>
    <mergeCell ref="B182:E182"/>
    <mergeCell ref="AA221:AA223"/>
    <mergeCell ref="B208:E208"/>
    <mergeCell ref="AA208:AA218"/>
    <mergeCell ref="B202:E202"/>
    <mergeCell ref="AA202:AA207"/>
    <mergeCell ref="B188:E188"/>
    <mergeCell ref="B189:E189"/>
    <mergeCell ref="AA189:AA194"/>
    <mergeCell ref="AB221:AB223"/>
    <mergeCell ref="AC221:AC223"/>
    <mergeCell ref="AD221:AD223"/>
    <mergeCell ref="B223:E223"/>
    <mergeCell ref="B224:E224"/>
    <mergeCell ref="AA224:AA227"/>
    <mergeCell ref="AB224:AB227"/>
    <mergeCell ref="AC224:AC227"/>
    <mergeCell ref="AD224:AD227"/>
    <mergeCell ref="A230:A236"/>
    <mergeCell ref="B230:E230"/>
    <mergeCell ref="AA230:AA232"/>
    <mergeCell ref="AB230:AB232"/>
    <mergeCell ref="AC230:AC232"/>
    <mergeCell ref="AD230:AD232"/>
    <mergeCell ref="B232:E232"/>
    <mergeCell ref="B233:E233"/>
    <mergeCell ref="B235:E235"/>
  </mergeCells>
  <pageMargins left="0.25" right="0.25" top="0.75" bottom="0.75" header="0.3" footer="0.3"/>
  <pageSetup paperSize="9" scale="2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60BE-8B8E-4344-9625-B3779E34E808}">
  <sheetPr>
    <pageSetUpPr fitToPage="1"/>
  </sheetPr>
  <dimension ref="A1:AD236"/>
  <sheetViews>
    <sheetView zoomScale="80" zoomScaleNormal="80" zoomScaleSheetLayoutView="77" workbookViewId="0">
      <pane ySplit="3" topLeftCell="A162" activePane="bottomLeft" state="frozen"/>
      <selection pane="bottomLeft" sqref="A1:Z1"/>
    </sheetView>
  </sheetViews>
  <sheetFormatPr baseColWidth="10" defaultColWidth="9" defaultRowHeight="24" x14ac:dyDescent="0.2"/>
  <cols>
    <col min="1" max="1" width="5.6640625" style="1" customWidth="1"/>
    <col min="2" max="2" width="52.33203125" style="1" customWidth="1"/>
    <col min="3" max="3" width="42.6640625" style="1" customWidth="1"/>
    <col min="4" max="4" width="33.1640625" style="1" hidden="1" customWidth="1"/>
    <col min="5" max="5" width="38.6640625" style="1" customWidth="1"/>
    <col min="6" max="6" width="52" style="1" customWidth="1"/>
    <col min="7" max="18" width="9" style="1" customWidth="1"/>
    <col min="19" max="19" width="9" style="1" hidden="1" customWidth="1"/>
    <col min="20" max="20" width="18.1640625" style="1" hidden="1" customWidth="1"/>
    <col min="21" max="21" width="18.83203125" style="1" hidden="1" customWidth="1"/>
    <col min="22" max="22" width="18.33203125" style="1" hidden="1" customWidth="1"/>
    <col min="23" max="26" width="18.1640625" style="1" hidden="1" customWidth="1"/>
    <col min="27" max="30" width="50.33203125" style="1" hidden="1" customWidth="1"/>
    <col min="31" max="16384" width="9" style="1"/>
  </cols>
  <sheetData>
    <row r="1" spans="1:30" ht="62" customHeight="1" thickBot="1" x14ac:dyDescent="0.25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6"/>
      <c r="V1" s="166"/>
      <c r="W1" s="166"/>
      <c r="X1" s="166"/>
      <c r="Y1" s="166"/>
      <c r="Z1" s="166"/>
    </row>
    <row r="2" spans="1:30" ht="23" customHeight="1" thickBot="1" x14ac:dyDescent="0.25">
      <c r="A2" s="167" t="s">
        <v>1</v>
      </c>
      <c r="B2" s="168"/>
      <c r="C2" s="168" t="s">
        <v>2</v>
      </c>
      <c r="D2" s="168" t="s">
        <v>3</v>
      </c>
      <c r="E2" s="168" t="s">
        <v>4</v>
      </c>
      <c r="F2" s="2"/>
      <c r="G2" s="171" t="s">
        <v>5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3"/>
      <c r="S2" s="174" t="s">
        <v>6</v>
      </c>
      <c r="T2" s="176" t="s">
        <v>7</v>
      </c>
      <c r="U2" s="178" t="s">
        <v>8</v>
      </c>
      <c r="V2" s="180" t="s">
        <v>9</v>
      </c>
      <c r="W2" s="181"/>
      <c r="X2" s="181"/>
      <c r="Y2" s="181"/>
      <c r="Z2" s="182"/>
      <c r="AA2" s="164" t="s">
        <v>10</v>
      </c>
      <c r="AB2" s="164"/>
      <c r="AC2" s="164"/>
      <c r="AD2" s="164"/>
    </row>
    <row r="3" spans="1:30" ht="26" thickBot="1" x14ac:dyDescent="0.25">
      <c r="A3" s="169"/>
      <c r="B3" s="170"/>
      <c r="C3" s="170"/>
      <c r="D3" s="170"/>
      <c r="E3" s="170"/>
      <c r="F3" s="3"/>
      <c r="G3" s="4" t="s">
        <v>11</v>
      </c>
      <c r="H3" s="5" t="s">
        <v>12</v>
      </c>
      <c r="I3" s="6" t="s">
        <v>13</v>
      </c>
      <c r="J3" s="7" t="s">
        <v>14</v>
      </c>
      <c r="K3" s="5" t="s">
        <v>15</v>
      </c>
      <c r="L3" s="6" t="s">
        <v>16</v>
      </c>
      <c r="M3" s="7" t="s">
        <v>17</v>
      </c>
      <c r="N3" s="5" t="s">
        <v>18</v>
      </c>
      <c r="O3" s="6" t="s">
        <v>19</v>
      </c>
      <c r="P3" s="7" t="s">
        <v>20</v>
      </c>
      <c r="Q3" s="5" t="s">
        <v>21</v>
      </c>
      <c r="R3" s="8" t="s">
        <v>22</v>
      </c>
      <c r="S3" s="175"/>
      <c r="T3" s="177"/>
      <c r="U3" s="179"/>
      <c r="V3" s="9">
        <v>1</v>
      </c>
      <c r="W3" s="10">
        <v>2</v>
      </c>
      <c r="X3" s="10">
        <v>3</v>
      </c>
      <c r="Y3" s="10">
        <v>4</v>
      </c>
      <c r="Z3" s="11">
        <v>5</v>
      </c>
      <c r="AA3" s="53" t="s">
        <v>23</v>
      </c>
      <c r="AB3" s="53" t="s">
        <v>24</v>
      </c>
      <c r="AC3" s="53" t="s">
        <v>25</v>
      </c>
      <c r="AD3" s="53" t="s">
        <v>26</v>
      </c>
    </row>
    <row r="4" spans="1:30" ht="28" customHeight="1" x14ac:dyDescent="0.2">
      <c r="A4" s="92" t="s">
        <v>27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4"/>
      <c r="AA4" s="54"/>
      <c r="AB4" s="54"/>
      <c r="AC4" s="54"/>
      <c r="AD4" s="54"/>
    </row>
    <row r="5" spans="1:30" s="19" customFormat="1" ht="28" customHeight="1" x14ac:dyDescent="0.2">
      <c r="A5" s="12"/>
      <c r="B5" s="12"/>
      <c r="C5" s="12"/>
      <c r="D5" s="12"/>
      <c r="E5" s="12"/>
      <c r="F5" s="13"/>
      <c r="G5" s="28">
        <f>(G6+G9+G12+G15+G18+G22+G25+G28+G31+G34+G37+G40+G43+G46)*100/$S$5</f>
        <v>4.166666666666667</v>
      </c>
      <c r="H5" s="28">
        <f t="shared" ref="H5:K5" si="0">(H6+H9+H12+H15+H18+H22+H25+H28+H31+H34+H37+H40+H43+H46)*100/$S$5</f>
        <v>8.3333333333333339</v>
      </c>
      <c r="I5" s="28">
        <f t="shared" si="0"/>
        <v>12.5</v>
      </c>
      <c r="J5" s="28">
        <f t="shared" si="0"/>
        <v>20.238095238095241</v>
      </c>
      <c r="K5" s="28">
        <f t="shared" si="0"/>
        <v>27.976190476190478</v>
      </c>
      <c r="L5" s="28">
        <f t="shared" ref="L5" si="1">(L6+L9+L12+L15+L18+L22+L25+L28+L31+L34+L37+L40+L43+L46)*100/$S$5</f>
        <v>35.714285714285715</v>
      </c>
      <c r="M5" s="28">
        <f t="shared" ref="M5" si="2">(M6+M9+M12+M15+M18+M22+M25+M28+M31+M34+M37+M40+M43+M46)*100/$S$5</f>
        <v>44.88095238095238</v>
      </c>
      <c r="N5" s="28">
        <f t="shared" ref="N5:O5" si="3">(N6+N9+N12+N15+N18+N22+N25+N28+N31+N34+N37+N40+N43+N46)*100/$S$5</f>
        <v>54.047619047619044</v>
      </c>
      <c r="O5" s="28">
        <f t="shared" si="3"/>
        <v>63.214285714285715</v>
      </c>
      <c r="P5" s="28">
        <f t="shared" ref="P5" si="4">(P6+P9+P12+P15+P18+P22+P25+P28+P31+P34+P37+P40+P43+P46)*100/$S$5</f>
        <v>75.952380952380963</v>
      </c>
      <c r="Q5" s="28">
        <f>(Q6+Q9+Q12+Q15+Q18+Q22+Q25+Q28+Q31+Q34+Q37+Q40+Q43+Q46)*100/$S$5</f>
        <v>88.69047619047619</v>
      </c>
      <c r="R5" s="28">
        <f>(R6+R9+R12+R15+R18+R22+R25+R28+R31+R34+R37+R40+R43+R46)*100/$S$5</f>
        <v>100</v>
      </c>
      <c r="S5" s="14">
        <v>1400</v>
      </c>
      <c r="T5" s="15"/>
      <c r="U5" s="16" t="s">
        <v>28</v>
      </c>
      <c r="V5" s="17"/>
      <c r="W5" s="17"/>
      <c r="X5" s="17"/>
      <c r="Y5" s="17"/>
      <c r="Z5" s="18"/>
      <c r="AA5" s="55"/>
      <c r="AB5" s="55"/>
      <c r="AC5" s="55"/>
      <c r="AD5" s="55"/>
    </row>
    <row r="6" spans="1:30" x14ac:dyDescent="0.2">
      <c r="A6" s="82"/>
      <c r="B6" s="85" t="s">
        <v>29</v>
      </c>
      <c r="C6" s="85"/>
      <c r="D6" s="85"/>
      <c r="E6" s="85"/>
      <c r="F6" s="21"/>
      <c r="G6" s="80">
        <f>(G7*100)/$S$7</f>
        <v>8.3333333333333339</v>
      </c>
      <c r="H6" s="80">
        <f t="shared" ref="H6:J6" si="5">(H7*100)/$S$7</f>
        <v>16.666666666666668</v>
      </c>
      <c r="I6" s="80">
        <f t="shared" si="5"/>
        <v>25</v>
      </c>
      <c r="J6" s="80">
        <f t="shared" si="5"/>
        <v>33.333333333333336</v>
      </c>
      <c r="K6" s="80">
        <f t="shared" ref="K6" si="6">(K7*100)/$S$7</f>
        <v>41.666666666666664</v>
      </c>
      <c r="L6" s="80">
        <f t="shared" ref="L6:M6" si="7">(L7*100)/$S$7</f>
        <v>50</v>
      </c>
      <c r="M6" s="80">
        <f t="shared" si="7"/>
        <v>58.333333333333336</v>
      </c>
      <c r="N6" s="80">
        <f>(N7*100)/$S$7</f>
        <v>66.666666666666671</v>
      </c>
      <c r="O6" s="80">
        <f t="shared" ref="O6" si="8">(O7*100)/$S$7</f>
        <v>75</v>
      </c>
      <c r="P6" s="80">
        <f t="shared" ref="P6" si="9">(P7*100)/$S$7</f>
        <v>83.333333333333329</v>
      </c>
      <c r="Q6" s="80">
        <f t="shared" ref="Q6" si="10">(Q7*100)/$S$7</f>
        <v>91.666666666666671</v>
      </c>
      <c r="R6" s="80">
        <f>(R7*100)/$S$7</f>
        <v>100</v>
      </c>
      <c r="S6" s="22"/>
      <c r="T6" s="22"/>
      <c r="U6" s="22"/>
      <c r="V6" s="22"/>
      <c r="W6" s="22"/>
      <c r="X6" s="22"/>
      <c r="Y6" s="22"/>
      <c r="Z6" s="22"/>
      <c r="AA6" s="86"/>
      <c r="AB6" s="87"/>
      <c r="AC6" s="88"/>
      <c r="AD6" s="88"/>
    </row>
    <row r="7" spans="1:30" ht="22" hidden="1" customHeight="1" x14ac:dyDescent="0.2">
      <c r="A7" s="83"/>
      <c r="B7" s="20"/>
      <c r="C7" s="20"/>
      <c r="D7" s="20"/>
      <c r="E7" s="20"/>
      <c r="F7" s="21"/>
      <c r="G7" s="77">
        <f>G8</f>
        <v>1</v>
      </c>
      <c r="H7" s="77">
        <f>G7+H8</f>
        <v>2</v>
      </c>
      <c r="I7" s="77">
        <f t="shared" ref="I7:R7" si="11">H7+I8</f>
        <v>3</v>
      </c>
      <c r="J7" s="77">
        <f t="shared" si="11"/>
        <v>4</v>
      </c>
      <c r="K7" s="77">
        <f t="shared" si="11"/>
        <v>5</v>
      </c>
      <c r="L7" s="77">
        <f t="shared" si="11"/>
        <v>6</v>
      </c>
      <c r="M7" s="77">
        <f t="shared" si="11"/>
        <v>7</v>
      </c>
      <c r="N7" s="77">
        <f t="shared" si="11"/>
        <v>8</v>
      </c>
      <c r="O7" s="77">
        <f t="shared" si="11"/>
        <v>9</v>
      </c>
      <c r="P7" s="77">
        <f t="shared" si="11"/>
        <v>10</v>
      </c>
      <c r="Q7" s="77">
        <f t="shared" si="11"/>
        <v>11</v>
      </c>
      <c r="R7" s="77">
        <f t="shared" si="11"/>
        <v>12</v>
      </c>
      <c r="S7" s="22">
        <f>R7</f>
        <v>12</v>
      </c>
      <c r="T7" s="22"/>
      <c r="U7" s="22"/>
      <c r="V7" s="22"/>
      <c r="W7" s="22"/>
      <c r="X7" s="22"/>
      <c r="Y7" s="22"/>
      <c r="Z7" s="22"/>
      <c r="AA7" s="86"/>
      <c r="AB7" s="87"/>
      <c r="AC7" s="89"/>
      <c r="AD7" s="89"/>
    </row>
    <row r="8" spans="1:30" ht="25" customHeight="1" x14ac:dyDescent="0.2">
      <c r="A8" s="83"/>
      <c r="B8" s="91" t="s">
        <v>30</v>
      </c>
      <c r="C8" s="91"/>
      <c r="D8" s="91"/>
      <c r="E8" s="91"/>
      <c r="F8" s="21"/>
      <c r="G8" s="69">
        <v>1</v>
      </c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22">
        <f>SUM(G8:R8)</f>
        <v>12</v>
      </c>
      <c r="T8" s="22"/>
      <c r="U8" s="22"/>
      <c r="V8" s="22"/>
      <c r="W8" s="22"/>
      <c r="X8" s="22"/>
      <c r="Y8" s="22"/>
      <c r="Z8" s="22"/>
      <c r="AA8" s="86"/>
      <c r="AB8" s="87"/>
      <c r="AC8" s="89"/>
      <c r="AD8" s="89"/>
    </row>
    <row r="9" spans="1:30" s="25" customFormat="1" x14ac:dyDescent="0.2">
      <c r="A9" s="83"/>
      <c r="B9" s="85" t="s">
        <v>31</v>
      </c>
      <c r="C9" s="85"/>
      <c r="D9" s="85"/>
      <c r="E9" s="85"/>
      <c r="F9" s="21"/>
      <c r="G9" s="80">
        <f>(G10*100)/$S$10</f>
        <v>8.3333333333333339</v>
      </c>
      <c r="H9" s="80">
        <f t="shared" ref="H9:K9" si="12">(H10*100)/$S$10</f>
        <v>16.666666666666668</v>
      </c>
      <c r="I9" s="80">
        <f t="shared" si="12"/>
        <v>25</v>
      </c>
      <c r="J9" s="80">
        <f t="shared" si="12"/>
        <v>33.333333333333336</v>
      </c>
      <c r="K9" s="80">
        <f t="shared" si="12"/>
        <v>41.666666666666664</v>
      </c>
      <c r="L9" s="80">
        <f>(L10*100)/$S$10</f>
        <v>50</v>
      </c>
      <c r="M9" s="80">
        <f t="shared" ref="M9" si="13">(M10*100)/$S$10</f>
        <v>58.333333333333336</v>
      </c>
      <c r="N9" s="80">
        <f t="shared" ref="N9" si="14">(N10*100)/$S$10</f>
        <v>66.666666666666671</v>
      </c>
      <c r="O9" s="80">
        <f t="shared" ref="O9" si="15">(O10*100)/$S$10</f>
        <v>75</v>
      </c>
      <c r="P9" s="80">
        <f>(P10*100)/$S$10</f>
        <v>83.333333333333329</v>
      </c>
      <c r="Q9" s="80">
        <f t="shared" ref="Q9" si="16">(Q10*100)/$S$10</f>
        <v>91.666666666666671</v>
      </c>
      <c r="R9" s="80">
        <f>(R10*100)/$S$10</f>
        <v>100</v>
      </c>
      <c r="S9" s="24"/>
      <c r="T9" s="24"/>
      <c r="U9" s="24"/>
      <c r="V9" s="24"/>
      <c r="W9" s="24"/>
      <c r="X9" s="24"/>
      <c r="Y9" s="24"/>
      <c r="Z9" s="24"/>
      <c r="AA9" s="87"/>
      <c r="AB9" s="88"/>
      <c r="AC9" s="88"/>
      <c r="AD9" s="88"/>
    </row>
    <row r="10" spans="1:30" s="25" customFormat="1" ht="26" hidden="1" customHeight="1" x14ac:dyDescent="0.2">
      <c r="A10" s="83"/>
      <c r="B10" s="20"/>
      <c r="C10" s="20"/>
      <c r="D10" s="20"/>
      <c r="E10" s="20"/>
      <c r="F10" s="21"/>
      <c r="G10" s="77">
        <f>G11</f>
        <v>1</v>
      </c>
      <c r="H10" s="77">
        <f>G10+H11</f>
        <v>2</v>
      </c>
      <c r="I10" s="77">
        <f t="shared" ref="I10" si="17">H10+I11</f>
        <v>3</v>
      </c>
      <c r="J10" s="77">
        <f t="shared" ref="J10" si="18">I10+J11</f>
        <v>4</v>
      </c>
      <c r="K10" s="77">
        <f t="shared" ref="K10" si="19">J10+K11</f>
        <v>5</v>
      </c>
      <c r="L10" s="77">
        <f t="shared" ref="L10" si="20">K10+L11</f>
        <v>6</v>
      </c>
      <c r="M10" s="77">
        <f t="shared" ref="M10" si="21">L10+M11</f>
        <v>7</v>
      </c>
      <c r="N10" s="77">
        <f t="shared" ref="N10" si="22">M10+N11</f>
        <v>8</v>
      </c>
      <c r="O10" s="77">
        <f t="shared" ref="O10" si="23">N10+O11</f>
        <v>9</v>
      </c>
      <c r="P10" s="77">
        <f t="shared" ref="P10" si="24">O10+P11</f>
        <v>10</v>
      </c>
      <c r="Q10" s="77">
        <f t="shared" ref="Q10" si="25">P10+Q11</f>
        <v>11</v>
      </c>
      <c r="R10" s="77">
        <f t="shared" ref="R10" si="26">Q10+R11</f>
        <v>12</v>
      </c>
      <c r="S10" s="22">
        <f>R10</f>
        <v>12</v>
      </c>
      <c r="T10" s="24"/>
      <c r="U10" s="24"/>
      <c r="V10" s="24"/>
      <c r="W10" s="24"/>
      <c r="X10" s="24"/>
      <c r="Y10" s="24"/>
      <c r="Z10" s="24"/>
      <c r="AA10" s="87"/>
      <c r="AB10" s="89"/>
      <c r="AC10" s="89"/>
      <c r="AD10" s="89"/>
    </row>
    <row r="11" spans="1:30" s="25" customFormat="1" ht="21" customHeight="1" x14ac:dyDescent="0.2">
      <c r="A11" s="83"/>
      <c r="B11" s="156" t="s">
        <v>32</v>
      </c>
      <c r="C11" s="157"/>
      <c r="D11" s="157"/>
      <c r="E11" s="158"/>
      <c r="F11" s="21"/>
      <c r="G11" s="69">
        <v>1</v>
      </c>
      <c r="H11" s="69">
        <v>1</v>
      </c>
      <c r="I11" s="69">
        <v>1</v>
      </c>
      <c r="J11" s="69">
        <v>1</v>
      </c>
      <c r="K11" s="69">
        <v>1</v>
      </c>
      <c r="L11" s="69">
        <v>1</v>
      </c>
      <c r="M11" s="69">
        <v>1</v>
      </c>
      <c r="N11" s="69">
        <v>1</v>
      </c>
      <c r="O11" s="69">
        <v>1</v>
      </c>
      <c r="P11" s="69">
        <v>1</v>
      </c>
      <c r="Q11" s="69">
        <v>1</v>
      </c>
      <c r="R11" s="69">
        <v>1</v>
      </c>
      <c r="S11" s="22">
        <f t="shared" ref="S11" si="27">SUM(G11:R11)</f>
        <v>12</v>
      </c>
      <c r="T11" s="24"/>
      <c r="U11" s="24"/>
      <c r="V11" s="24"/>
      <c r="W11" s="24"/>
      <c r="X11" s="24"/>
      <c r="Y11" s="24"/>
      <c r="Z11" s="24"/>
      <c r="AA11" s="87"/>
      <c r="AB11" s="89"/>
      <c r="AC11" s="89"/>
      <c r="AD11" s="89"/>
    </row>
    <row r="12" spans="1:30" s="25" customFormat="1" x14ac:dyDescent="0.2">
      <c r="A12" s="83"/>
      <c r="B12" s="85" t="s">
        <v>33</v>
      </c>
      <c r="C12" s="85"/>
      <c r="D12" s="85"/>
      <c r="E12" s="85"/>
      <c r="F12" s="21"/>
      <c r="G12" s="80">
        <f>(G13*100)/$S$13</f>
        <v>8.3333333333333339</v>
      </c>
      <c r="H12" s="80">
        <f t="shared" ref="H12:K12" si="28">(H13*100)/$S$13</f>
        <v>16.666666666666668</v>
      </c>
      <c r="I12" s="80">
        <f t="shared" si="28"/>
        <v>25</v>
      </c>
      <c r="J12" s="80">
        <f t="shared" si="28"/>
        <v>33.333333333333336</v>
      </c>
      <c r="K12" s="80">
        <f t="shared" si="28"/>
        <v>41.666666666666664</v>
      </c>
      <c r="L12" s="80">
        <f t="shared" ref="L12" si="29">(L13*100)/$S$13</f>
        <v>50</v>
      </c>
      <c r="M12" s="80">
        <f t="shared" ref="M12" si="30">(M13*100)/$S$13</f>
        <v>58.333333333333336</v>
      </c>
      <c r="N12" s="80">
        <f t="shared" ref="N12:O12" si="31">(N13*100)/$S$13</f>
        <v>66.666666666666671</v>
      </c>
      <c r="O12" s="80">
        <f t="shared" si="31"/>
        <v>75</v>
      </c>
      <c r="P12" s="80">
        <f t="shared" ref="P12" si="32">(P13*100)/$S$13</f>
        <v>83.333333333333329</v>
      </c>
      <c r="Q12" s="80">
        <f t="shared" ref="Q12" si="33">(Q13*100)/$S$13</f>
        <v>91.666666666666671</v>
      </c>
      <c r="R12" s="80">
        <f t="shared" ref="R12" si="34">(R13*100)/$S$13</f>
        <v>100</v>
      </c>
      <c r="S12" s="24"/>
      <c r="T12" s="24"/>
      <c r="U12" s="24"/>
      <c r="V12" s="24"/>
      <c r="W12" s="24"/>
      <c r="X12" s="24"/>
      <c r="Y12" s="24"/>
      <c r="Z12" s="24"/>
      <c r="AA12" s="87"/>
      <c r="AB12" s="89"/>
      <c r="AC12" s="89"/>
      <c r="AD12" s="89"/>
    </row>
    <row r="13" spans="1:30" s="25" customFormat="1" ht="25" hidden="1" customHeight="1" x14ac:dyDescent="0.2">
      <c r="A13" s="83"/>
      <c r="B13" s="20"/>
      <c r="C13" s="20"/>
      <c r="D13" s="20"/>
      <c r="E13" s="20"/>
      <c r="F13" s="21"/>
      <c r="G13" s="77">
        <f>G14</f>
        <v>1</v>
      </c>
      <c r="H13" s="77">
        <f>G13+H14</f>
        <v>2</v>
      </c>
      <c r="I13" s="77">
        <f t="shared" ref="I13" si="35">H13+I14</f>
        <v>3</v>
      </c>
      <c r="J13" s="77">
        <f t="shared" ref="J13" si="36">I13+J14</f>
        <v>4</v>
      </c>
      <c r="K13" s="77">
        <f t="shared" ref="K13" si="37">J13+K14</f>
        <v>5</v>
      </c>
      <c r="L13" s="77">
        <f t="shared" ref="L13" si="38">K13+L14</f>
        <v>6</v>
      </c>
      <c r="M13" s="77">
        <f t="shared" ref="M13" si="39">L13+M14</f>
        <v>7</v>
      </c>
      <c r="N13" s="77">
        <f t="shared" ref="N13" si="40">M13+N14</f>
        <v>8</v>
      </c>
      <c r="O13" s="77">
        <f t="shared" ref="O13" si="41">N13+O14</f>
        <v>9</v>
      </c>
      <c r="P13" s="77">
        <f t="shared" ref="P13" si="42">O13+P14</f>
        <v>10</v>
      </c>
      <c r="Q13" s="77">
        <f t="shared" ref="Q13" si="43">P13+Q14</f>
        <v>11</v>
      </c>
      <c r="R13" s="77">
        <f t="shared" ref="R13" si="44">Q13+R14</f>
        <v>12</v>
      </c>
      <c r="S13" s="22">
        <f>R13</f>
        <v>12</v>
      </c>
      <c r="T13" s="24"/>
      <c r="U13" s="24"/>
      <c r="V13" s="24"/>
      <c r="W13" s="24"/>
      <c r="X13" s="24"/>
      <c r="Y13" s="24"/>
      <c r="Z13" s="24"/>
      <c r="AA13" s="56"/>
      <c r="AB13" s="56"/>
      <c r="AC13" s="56"/>
      <c r="AD13" s="56"/>
    </row>
    <row r="14" spans="1:30" ht="25" customHeight="1" x14ac:dyDescent="0.2">
      <c r="A14" s="83"/>
      <c r="B14" s="160" t="s">
        <v>34</v>
      </c>
      <c r="C14" s="161"/>
      <c r="D14" s="161"/>
      <c r="E14" s="162"/>
      <c r="F14" s="21"/>
      <c r="G14" s="69">
        <v>1</v>
      </c>
      <c r="H14" s="69">
        <v>1</v>
      </c>
      <c r="I14" s="69">
        <v>1</v>
      </c>
      <c r="J14" s="69">
        <v>1</v>
      </c>
      <c r="K14" s="69">
        <v>1</v>
      </c>
      <c r="L14" s="69">
        <v>1</v>
      </c>
      <c r="M14" s="69">
        <v>1</v>
      </c>
      <c r="N14" s="69">
        <v>1</v>
      </c>
      <c r="O14" s="69">
        <v>1</v>
      </c>
      <c r="P14" s="69">
        <v>1</v>
      </c>
      <c r="Q14" s="69">
        <v>1</v>
      </c>
      <c r="R14" s="69">
        <v>1</v>
      </c>
      <c r="S14" s="22">
        <f t="shared" ref="S14" si="45">SUM(G14:R14)</f>
        <v>12</v>
      </c>
      <c r="T14" s="22"/>
      <c r="U14" s="22"/>
      <c r="V14" s="22"/>
      <c r="W14" s="22"/>
      <c r="X14" s="22"/>
      <c r="Y14" s="22"/>
      <c r="Z14" s="22"/>
      <c r="AA14" s="61"/>
      <c r="AB14" s="58"/>
      <c r="AC14" s="58"/>
      <c r="AD14" s="58"/>
    </row>
    <row r="15" spans="1:30" ht="22" customHeight="1" x14ac:dyDescent="0.2">
      <c r="A15" s="82"/>
      <c r="B15" s="85" t="s">
        <v>37</v>
      </c>
      <c r="C15" s="85"/>
      <c r="D15" s="85"/>
      <c r="E15" s="85"/>
      <c r="F15" s="21"/>
      <c r="G15" s="22"/>
      <c r="H15" s="22"/>
      <c r="I15" s="22"/>
      <c r="J15" s="80">
        <f>(J16*100)/$S$16</f>
        <v>33.333333333333336</v>
      </c>
      <c r="K15" s="80">
        <f t="shared" ref="K15:L15" si="46">(K16*100)/$S$16</f>
        <v>66.666666666666671</v>
      </c>
      <c r="L15" s="80">
        <f t="shared" si="46"/>
        <v>100</v>
      </c>
      <c r="M15" s="76">
        <v>100</v>
      </c>
      <c r="N15" s="76">
        <v>100</v>
      </c>
      <c r="O15" s="76">
        <v>100</v>
      </c>
      <c r="P15" s="76">
        <v>100</v>
      </c>
      <c r="Q15" s="76">
        <v>100</v>
      </c>
      <c r="R15" s="76">
        <v>100</v>
      </c>
      <c r="S15" s="22"/>
      <c r="T15" s="22"/>
      <c r="U15" s="22"/>
      <c r="V15" s="22"/>
      <c r="W15" s="22"/>
      <c r="X15" s="22"/>
      <c r="Y15" s="22"/>
      <c r="Z15" s="22"/>
      <c r="AA15" s="86"/>
      <c r="AB15" s="87"/>
      <c r="AC15" s="88"/>
      <c r="AD15" s="88"/>
    </row>
    <row r="16" spans="1:30" ht="36" hidden="1" customHeight="1" x14ac:dyDescent="0.2">
      <c r="A16" s="83"/>
      <c r="B16" s="20"/>
      <c r="C16" s="20"/>
      <c r="D16" s="20"/>
      <c r="E16" s="20"/>
      <c r="F16" s="21"/>
      <c r="G16" s="22"/>
      <c r="H16" s="22"/>
      <c r="I16" s="22"/>
      <c r="J16" s="77">
        <f>J17</f>
        <v>1</v>
      </c>
      <c r="K16" s="77">
        <f>J16+K17</f>
        <v>2</v>
      </c>
      <c r="L16" s="77">
        <f t="shared" ref="L16" si="47">K16+L17</f>
        <v>3</v>
      </c>
      <c r="M16" s="78">
        <f t="shared" ref="M16" si="48">L16+M17</f>
        <v>3</v>
      </c>
      <c r="N16" s="78">
        <f t="shared" ref="N16" si="49">M16+N17</f>
        <v>3</v>
      </c>
      <c r="O16" s="78">
        <f t="shared" ref="O16" si="50">N16+O17</f>
        <v>3</v>
      </c>
      <c r="P16" s="78">
        <f t="shared" ref="P16" si="51">O16+P17</f>
        <v>3</v>
      </c>
      <c r="Q16" s="78">
        <f t="shared" ref="Q16" si="52">P16+Q17</f>
        <v>3</v>
      </c>
      <c r="R16" s="78">
        <f t="shared" ref="R16" si="53">Q16+R17</f>
        <v>3</v>
      </c>
      <c r="S16" s="22">
        <f>R16</f>
        <v>3</v>
      </c>
      <c r="T16" s="22"/>
      <c r="U16" s="22"/>
      <c r="V16" s="22"/>
      <c r="W16" s="22"/>
      <c r="X16" s="22"/>
      <c r="Y16" s="22"/>
      <c r="Z16" s="22"/>
      <c r="AA16" s="86"/>
      <c r="AB16" s="87"/>
      <c r="AC16" s="89"/>
      <c r="AD16" s="89"/>
    </row>
    <row r="17" spans="1:30" ht="25" customHeight="1" x14ac:dyDescent="0.2">
      <c r="A17" s="83"/>
      <c r="B17" s="91" t="s">
        <v>39</v>
      </c>
      <c r="C17" s="91"/>
      <c r="D17" s="91"/>
      <c r="E17" s="91"/>
      <c r="F17" s="21"/>
      <c r="G17" s="22"/>
      <c r="H17" s="22"/>
      <c r="I17" s="22"/>
      <c r="J17" s="66">
        <v>1</v>
      </c>
      <c r="K17" s="66">
        <v>1</v>
      </c>
      <c r="L17" s="66">
        <v>1</v>
      </c>
      <c r="M17" s="73"/>
      <c r="N17" s="73"/>
      <c r="O17" s="22"/>
      <c r="P17" s="22"/>
      <c r="Q17" s="22"/>
      <c r="R17" s="22"/>
      <c r="S17" s="22">
        <f>SUM(G17:R17)</f>
        <v>3</v>
      </c>
      <c r="T17" s="22"/>
      <c r="U17" s="22"/>
      <c r="V17" s="22"/>
      <c r="W17" s="22"/>
      <c r="X17" s="22"/>
      <c r="Y17" s="22"/>
      <c r="Z17" s="22"/>
      <c r="AA17" s="86"/>
      <c r="AB17" s="87"/>
      <c r="AC17" s="89"/>
      <c r="AD17" s="89"/>
    </row>
    <row r="18" spans="1:30" x14ac:dyDescent="0.2">
      <c r="A18" s="83"/>
      <c r="B18" s="85" t="s">
        <v>40</v>
      </c>
      <c r="C18" s="85"/>
      <c r="D18" s="85"/>
      <c r="E18" s="85"/>
      <c r="F18" s="21"/>
      <c r="G18" s="22"/>
      <c r="H18" s="22"/>
      <c r="I18" s="22"/>
      <c r="J18" s="22"/>
      <c r="K18" s="22"/>
      <c r="L18" s="22"/>
      <c r="M18" s="80">
        <f>(M19*100)/$S$19</f>
        <v>20</v>
      </c>
      <c r="N18" s="80">
        <f t="shared" ref="N18:Q18" si="54">(N19*100)/$S$19</f>
        <v>40</v>
      </c>
      <c r="O18" s="80">
        <f t="shared" si="54"/>
        <v>60</v>
      </c>
      <c r="P18" s="80">
        <f t="shared" si="54"/>
        <v>80</v>
      </c>
      <c r="Q18" s="80">
        <f t="shared" si="54"/>
        <v>100</v>
      </c>
      <c r="R18" s="76">
        <v>100</v>
      </c>
      <c r="S18" s="22"/>
      <c r="T18" s="22"/>
      <c r="U18" s="22"/>
      <c r="V18" s="22"/>
      <c r="W18" s="22"/>
      <c r="X18" s="22"/>
      <c r="Y18" s="22"/>
      <c r="Z18" s="22"/>
      <c r="AA18" s="60"/>
      <c r="AB18" s="61"/>
      <c r="AC18" s="59"/>
      <c r="AD18" s="59"/>
    </row>
    <row r="19" spans="1:30" ht="23.25" hidden="1" customHeight="1" x14ac:dyDescent="0.2">
      <c r="A19" s="83"/>
      <c r="B19" s="20"/>
      <c r="C19" s="20"/>
      <c r="D19" s="20"/>
      <c r="E19" s="20"/>
      <c r="F19" s="21"/>
      <c r="G19" s="22"/>
      <c r="H19" s="22"/>
      <c r="I19" s="22"/>
      <c r="J19" s="22"/>
      <c r="K19" s="22"/>
      <c r="L19" s="22"/>
      <c r="M19" s="77">
        <f>M20</f>
        <v>1</v>
      </c>
      <c r="N19" s="77">
        <f>M19+N20</f>
        <v>2</v>
      </c>
      <c r="O19" s="77">
        <f t="shared" ref="O19" si="55">N19+O20</f>
        <v>3</v>
      </c>
      <c r="P19" s="77">
        <f>O19+P20+P21</f>
        <v>4</v>
      </c>
      <c r="Q19" s="77">
        <f>P19+Q20+Q21</f>
        <v>5</v>
      </c>
      <c r="R19" s="77">
        <f t="shared" ref="R19" si="56">Q19+R20</f>
        <v>5</v>
      </c>
      <c r="S19" s="22">
        <f>R19</f>
        <v>5</v>
      </c>
      <c r="T19" s="22"/>
      <c r="U19" s="22"/>
      <c r="V19" s="22"/>
      <c r="W19" s="22"/>
      <c r="X19" s="22"/>
      <c r="Y19" s="22"/>
      <c r="Z19" s="22"/>
      <c r="AA19" s="60"/>
      <c r="AB19" s="61"/>
      <c r="AC19" s="59"/>
      <c r="AD19" s="59"/>
    </row>
    <row r="20" spans="1:30" ht="25" customHeight="1" x14ac:dyDescent="0.2">
      <c r="A20" s="83"/>
      <c r="B20" s="91" t="s">
        <v>41</v>
      </c>
      <c r="C20" s="91"/>
      <c r="D20" s="91"/>
      <c r="E20" s="91"/>
      <c r="F20" s="21"/>
      <c r="G20" s="22"/>
      <c r="H20" s="22"/>
      <c r="I20" s="22"/>
      <c r="J20" s="22"/>
      <c r="K20" s="22"/>
      <c r="L20" s="22"/>
      <c r="M20" s="66">
        <v>1</v>
      </c>
      <c r="N20" s="66">
        <v>1</v>
      </c>
      <c r="O20" s="66">
        <v>1</v>
      </c>
      <c r="P20" s="22"/>
      <c r="Q20" s="22"/>
      <c r="R20" s="22"/>
      <c r="S20" s="22">
        <f>SUM(G20:R20)</f>
        <v>3</v>
      </c>
      <c r="T20" s="22"/>
      <c r="U20" s="22"/>
      <c r="V20" s="22"/>
      <c r="W20" s="22"/>
      <c r="X20" s="22"/>
      <c r="Y20" s="22"/>
      <c r="Z20" s="22"/>
      <c r="AA20" s="60"/>
      <c r="AB20" s="61"/>
      <c r="AC20" s="59"/>
      <c r="AD20" s="59"/>
    </row>
    <row r="21" spans="1:30" ht="25" customHeight="1" x14ac:dyDescent="0.2">
      <c r="A21" s="83"/>
      <c r="B21" s="153" t="s">
        <v>43</v>
      </c>
      <c r="C21" s="154"/>
      <c r="D21" s="154"/>
      <c r="E21" s="155"/>
      <c r="F21" s="21"/>
      <c r="G21" s="22"/>
      <c r="H21" s="22"/>
      <c r="I21" s="22"/>
      <c r="J21" s="22"/>
      <c r="K21" s="22"/>
      <c r="L21" s="22"/>
      <c r="M21" s="22"/>
      <c r="N21" s="73"/>
      <c r="O21" s="73"/>
      <c r="P21" s="66">
        <v>1</v>
      </c>
      <c r="Q21" s="66">
        <v>1</v>
      </c>
      <c r="R21" s="73"/>
      <c r="S21" s="22">
        <f t="shared" ref="S21" si="57">SUM(G21:R21)</f>
        <v>2</v>
      </c>
      <c r="T21" s="22"/>
      <c r="U21" s="22"/>
      <c r="V21" s="22"/>
      <c r="W21" s="22"/>
      <c r="X21" s="22"/>
      <c r="Y21" s="22"/>
      <c r="Z21" s="22"/>
      <c r="AA21" s="60"/>
      <c r="AB21" s="61"/>
      <c r="AC21" s="59"/>
      <c r="AD21" s="59"/>
    </row>
    <row r="22" spans="1:30" s="25" customFormat="1" ht="27" customHeight="1" x14ac:dyDescent="0.4">
      <c r="A22" s="83"/>
      <c r="B22" s="85" t="s">
        <v>44</v>
      </c>
      <c r="C22" s="85"/>
      <c r="D22" s="85"/>
      <c r="E22" s="85"/>
      <c r="F22" s="21"/>
      <c r="G22" s="24"/>
      <c r="H22" s="24"/>
      <c r="I22" s="24"/>
      <c r="J22" s="24"/>
      <c r="K22" s="74"/>
      <c r="L22" s="74"/>
      <c r="M22" s="74"/>
      <c r="N22" s="74"/>
      <c r="O22" s="74"/>
      <c r="P22" s="81">
        <f>(P23*100)/$S$23</f>
        <v>33.333333333333336</v>
      </c>
      <c r="Q22" s="81">
        <f t="shared" ref="Q22:R22" si="58">(Q23*100)/$S$23</f>
        <v>66.666666666666671</v>
      </c>
      <c r="R22" s="81">
        <f t="shared" si="58"/>
        <v>100</v>
      </c>
      <c r="S22" s="24"/>
      <c r="T22" s="24"/>
      <c r="U22" s="24"/>
      <c r="V22" s="24"/>
      <c r="W22" s="24"/>
      <c r="X22" s="24"/>
      <c r="Y22" s="24"/>
      <c r="Z22" s="24"/>
      <c r="AA22" s="87"/>
      <c r="AB22" s="88"/>
      <c r="AC22" s="88"/>
      <c r="AD22" s="88"/>
    </row>
    <row r="23" spans="1:30" s="25" customFormat="1" ht="18" hidden="1" customHeight="1" x14ac:dyDescent="0.2">
      <c r="A23" s="83"/>
      <c r="B23" s="20"/>
      <c r="C23" s="20"/>
      <c r="D23" s="20"/>
      <c r="E23" s="20"/>
      <c r="F23" s="21"/>
      <c r="G23" s="24"/>
      <c r="H23" s="24"/>
      <c r="I23" s="24"/>
      <c r="J23" s="24"/>
      <c r="K23" s="24"/>
      <c r="L23" s="24"/>
      <c r="M23" s="24"/>
      <c r="N23" s="24"/>
      <c r="O23" s="24"/>
      <c r="P23" s="24">
        <f>O23+SUM(P24:P24)</f>
        <v>1</v>
      </c>
      <c r="Q23" s="24">
        <f>P23+SUM(Q24:Q24)</f>
        <v>2</v>
      </c>
      <c r="R23" s="24">
        <f>Q23+SUM(R24:R24)</f>
        <v>3</v>
      </c>
      <c r="S23" s="22">
        <f>R23</f>
        <v>3</v>
      </c>
      <c r="T23" s="24"/>
      <c r="U23" s="24"/>
      <c r="V23" s="24"/>
      <c r="W23" s="24"/>
      <c r="X23" s="24"/>
      <c r="Y23" s="24"/>
      <c r="Z23" s="24"/>
      <c r="AA23" s="87"/>
      <c r="AB23" s="89"/>
      <c r="AC23" s="89"/>
      <c r="AD23" s="89"/>
    </row>
    <row r="24" spans="1:30" s="25" customFormat="1" ht="21" customHeight="1" x14ac:dyDescent="0.2">
      <c r="A24" s="83"/>
      <c r="B24" s="156" t="s">
        <v>47</v>
      </c>
      <c r="C24" s="157"/>
      <c r="D24" s="157"/>
      <c r="E24" s="158"/>
      <c r="F24" s="21"/>
      <c r="G24" s="24"/>
      <c r="H24" s="24"/>
      <c r="I24" s="24"/>
      <c r="J24" s="24"/>
      <c r="K24" s="75"/>
      <c r="L24" s="75"/>
      <c r="M24" s="75"/>
      <c r="N24" s="75"/>
      <c r="O24" s="75"/>
      <c r="P24" s="66">
        <v>1</v>
      </c>
      <c r="Q24" s="66">
        <v>1</v>
      </c>
      <c r="R24" s="66">
        <v>1</v>
      </c>
      <c r="S24" s="22">
        <f t="shared" ref="S24" si="59">SUM(G24:R24)</f>
        <v>3</v>
      </c>
      <c r="T24" s="24"/>
      <c r="U24" s="24"/>
      <c r="V24" s="24"/>
      <c r="W24" s="24"/>
      <c r="X24" s="24"/>
      <c r="Y24" s="24"/>
      <c r="Z24" s="24"/>
      <c r="AA24" s="87"/>
      <c r="AB24" s="89"/>
      <c r="AC24" s="89"/>
      <c r="AD24" s="89"/>
    </row>
    <row r="25" spans="1:30" s="25" customFormat="1" ht="29" customHeight="1" x14ac:dyDescent="0.4">
      <c r="A25" s="83"/>
      <c r="B25" s="85" t="s">
        <v>48</v>
      </c>
      <c r="C25" s="85"/>
      <c r="D25" s="85"/>
      <c r="E25" s="85"/>
      <c r="F25" s="21"/>
      <c r="G25" s="24"/>
      <c r="H25" s="24"/>
      <c r="I25" s="24"/>
      <c r="J25" s="24"/>
      <c r="K25" s="74"/>
      <c r="L25" s="74"/>
      <c r="M25" s="74"/>
      <c r="N25" s="74"/>
      <c r="O25" s="74"/>
      <c r="P25" s="81">
        <f>(P26*100)/$S$26</f>
        <v>33.333333333333336</v>
      </c>
      <c r="Q25" s="81">
        <f t="shared" ref="Q25:R25" si="60">(Q26*100)/$S$26</f>
        <v>66.666666666666671</v>
      </c>
      <c r="R25" s="81">
        <f t="shared" si="60"/>
        <v>100</v>
      </c>
      <c r="S25" s="24"/>
      <c r="T25" s="24"/>
      <c r="U25" s="24"/>
      <c r="V25" s="24"/>
      <c r="W25" s="24"/>
      <c r="X25" s="24"/>
      <c r="Y25" s="24"/>
      <c r="Z25" s="24"/>
      <c r="AA25" s="87"/>
      <c r="AB25" s="89"/>
      <c r="AC25" s="89"/>
      <c r="AD25" s="89"/>
    </row>
    <row r="26" spans="1:30" s="25" customFormat="1" ht="18" hidden="1" customHeight="1" x14ac:dyDescent="0.2">
      <c r="A26" s="83"/>
      <c r="B26" s="20"/>
      <c r="C26" s="20"/>
      <c r="D26" s="20"/>
      <c r="E26" s="20"/>
      <c r="F26" s="21"/>
      <c r="G26" s="24"/>
      <c r="H26" s="24"/>
      <c r="I26" s="24"/>
      <c r="J26" s="24"/>
      <c r="K26" s="24"/>
      <c r="L26" s="24"/>
      <c r="M26" s="24"/>
      <c r="N26" s="24"/>
      <c r="O26" s="24"/>
      <c r="P26" s="24">
        <f>O26+SUM(P27:P27)</f>
        <v>1</v>
      </c>
      <c r="Q26" s="24">
        <f>P26+SUM(Q27:Q27)</f>
        <v>2</v>
      </c>
      <c r="R26" s="24">
        <f>Q26+SUM(R27:R27)</f>
        <v>3</v>
      </c>
      <c r="S26" s="22">
        <f>R26</f>
        <v>3</v>
      </c>
      <c r="T26" s="24"/>
      <c r="U26" s="24"/>
      <c r="V26" s="24"/>
      <c r="W26" s="24"/>
      <c r="X26" s="24"/>
      <c r="Y26" s="24"/>
      <c r="Z26" s="24"/>
      <c r="AA26" s="87"/>
      <c r="AB26" s="89"/>
      <c r="AC26" s="89"/>
      <c r="AD26" s="89"/>
    </row>
    <row r="27" spans="1:30" s="25" customFormat="1" ht="25" customHeight="1" x14ac:dyDescent="0.2">
      <c r="A27" s="83"/>
      <c r="B27" s="156" t="s">
        <v>49</v>
      </c>
      <c r="C27" s="157"/>
      <c r="D27" s="157"/>
      <c r="E27" s="158"/>
      <c r="F27" s="21"/>
      <c r="G27" s="24"/>
      <c r="H27" s="24"/>
      <c r="I27" s="24"/>
      <c r="J27" s="24"/>
      <c r="K27" s="75"/>
      <c r="L27" s="75"/>
      <c r="M27" s="75"/>
      <c r="N27" s="75"/>
      <c r="O27" s="75"/>
      <c r="P27" s="66">
        <v>1</v>
      </c>
      <c r="Q27" s="66">
        <v>1</v>
      </c>
      <c r="R27" s="66">
        <v>1</v>
      </c>
      <c r="S27" s="22">
        <f t="shared" ref="S27" si="61">SUM(G27:R27)</f>
        <v>3</v>
      </c>
      <c r="T27" s="24"/>
      <c r="U27" s="24"/>
      <c r="V27" s="24"/>
      <c r="W27" s="24"/>
      <c r="X27" s="24"/>
      <c r="Y27" s="24"/>
      <c r="Z27" s="24"/>
      <c r="AA27" s="87"/>
      <c r="AB27" s="89"/>
      <c r="AC27" s="89"/>
      <c r="AD27" s="89"/>
    </row>
    <row r="28" spans="1:30" s="25" customFormat="1" ht="29" customHeight="1" x14ac:dyDescent="0.4">
      <c r="A28" s="83"/>
      <c r="B28" s="85" t="s">
        <v>50</v>
      </c>
      <c r="C28" s="85"/>
      <c r="D28" s="85"/>
      <c r="E28" s="85"/>
      <c r="F28" s="21"/>
      <c r="G28" s="24"/>
      <c r="H28" s="24"/>
      <c r="I28" s="24"/>
      <c r="J28" s="24"/>
      <c r="K28" s="74"/>
      <c r="L28" s="74"/>
      <c r="M28" s="74"/>
      <c r="N28" s="74"/>
      <c r="O28" s="74"/>
      <c r="P28" s="81">
        <f>(P29*100)/$S$29</f>
        <v>33.333333333333336</v>
      </c>
      <c r="Q28" s="81">
        <f t="shared" ref="Q28:R28" si="62">(Q29*100)/$S$29</f>
        <v>66.666666666666671</v>
      </c>
      <c r="R28" s="81">
        <f t="shared" si="62"/>
        <v>100</v>
      </c>
      <c r="S28" s="24"/>
      <c r="T28" s="24"/>
      <c r="U28" s="24"/>
      <c r="V28" s="24"/>
      <c r="W28" s="24"/>
      <c r="X28" s="24"/>
      <c r="Y28" s="24"/>
      <c r="Z28" s="24"/>
      <c r="AA28" s="87"/>
      <c r="AB28" s="89"/>
      <c r="AC28" s="89"/>
      <c r="AD28" s="89"/>
    </row>
    <row r="29" spans="1:30" s="25" customFormat="1" ht="18" hidden="1" customHeight="1" x14ac:dyDescent="0.2">
      <c r="A29" s="83"/>
      <c r="B29" s="20"/>
      <c r="C29" s="20"/>
      <c r="D29" s="20"/>
      <c r="E29" s="20"/>
      <c r="F29" s="21"/>
      <c r="G29" s="24"/>
      <c r="H29" s="24"/>
      <c r="I29" s="24"/>
      <c r="J29" s="24"/>
      <c r="K29" s="24"/>
      <c r="L29" s="24"/>
      <c r="M29" s="24"/>
      <c r="N29" s="24"/>
      <c r="O29" s="24"/>
      <c r="P29" s="24">
        <f>O29+SUM(P30:P30)</f>
        <v>1</v>
      </c>
      <c r="Q29" s="24">
        <f>P29+SUM(Q30:Q30)</f>
        <v>2</v>
      </c>
      <c r="R29" s="24">
        <f>Q29+SUM(R30:R30)</f>
        <v>3</v>
      </c>
      <c r="S29" s="22">
        <f>R29</f>
        <v>3</v>
      </c>
      <c r="T29" s="24"/>
      <c r="U29" s="24"/>
      <c r="V29" s="24"/>
      <c r="W29" s="24"/>
      <c r="X29" s="24"/>
      <c r="Y29" s="24"/>
      <c r="Z29" s="24"/>
      <c r="AA29" s="87"/>
      <c r="AB29" s="89"/>
      <c r="AC29" s="89"/>
      <c r="AD29" s="89"/>
    </row>
    <row r="30" spans="1:30" s="25" customFormat="1" ht="25" customHeight="1" x14ac:dyDescent="0.2">
      <c r="A30" s="83"/>
      <c r="B30" s="156" t="s">
        <v>51</v>
      </c>
      <c r="C30" s="157"/>
      <c r="D30" s="157"/>
      <c r="E30" s="158"/>
      <c r="F30" s="21"/>
      <c r="G30" s="24"/>
      <c r="H30" s="24"/>
      <c r="I30" s="24"/>
      <c r="J30" s="24"/>
      <c r="K30" s="75"/>
      <c r="L30" s="75"/>
      <c r="M30" s="75"/>
      <c r="N30" s="75"/>
      <c r="O30" s="75"/>
      <c r="P30" s="66">
        <v>1</v>
      </c>
      <c r="Q30" s="66">
        <v>1</v>
      </c>
      <c r="R30" s="66">
        <v>1</v>
      </c>
      <c r="S30" s="22">
        <f t="shared" ref="S30" si="63">SUM(G30:R30)</f>
        <v>3</v>
      </c>
      <c r="T30" s="24"/>
      <c r="U30" s="24"/>
      <c r="V30" s="24"/>
      <c r="W30" s="24"/>
      <c r="X30" s="24"/>
      <c r="Y30" s="24"/>
      <c r="Z30" s="24"/>
      <c r="AA30" s="87"/>
      <c r="AB30" s="89"/>
      <c r="AC30" s="89"/>
      <c r="AD30" s="89"/>
    </row>
    <row r="31" spans="1:30" s="25" customFormat="1" ht="29" customHeight="1" x14ac:dyDescent="0.4">
      <c r="A31" s="83"/>
      <c r="B31" s="85" t="s">
        <v>52</v>
      </c>
      <c r="C31" s="85"/>
      <c r="D31" s="85"/>
      <c r="E31" s="85"/>
      <c r="F31" s="21"/>
      <c r="G31" s="81">
        <f>(G32*100)/$S$32</f>
        <v>8.3333333333333339</v>
      </c>
      <c r="H31" s="81">
        <f t="shared" ref="H31:R31" si="64">(H32*100)/$S$32</f>
        <v>16.666666666666668</v>
      </c>
      <c r="I31" s="81">
        <f t="shared" si="64"/>
        <v>25</v>
      </c>
      <c r="J31" s="81">
        <f t="shared" si="64"/>
        <v>33.333333333333336</v>
      </c>
      <c r="K31" s="81">
        <f t="shared" si="64"/>
        <v>41.666666666666664</v>
      </c>
      <c r="L31" s="81">
        <f t="shared" si="64"/>
        <v>50</v>
      </c>
      <c r="M31" s="81">
        <f t="shared" si="64"/>
        <v>58.333333333333336</v>
      </c>
      <c r="N31" s="81">
        <f t="shared" si="64"/>
        <v>66.666666666666671</v>
      </c>
      <c r="O31" s="81">
        <f t="shared" si="64"/>
        <v>75</v>
      </c>
      <c r="P31" s="81">
        <f t="shared" si="64"/>
        <v>83.333333333333329</v>
      </c>
      <c r="Q31" s="81">
        <f t="shared" si="64"/>
        <v>91.666666666666671</v>
      </c>
      <c r="R31" s="81">
        <f t="shared" si="64"/>
        <v>100</v>
      </c>
      <c r="S31" s="24"/>
      <c r="T31" s="24"/>
      <c r="U31" s="24"/>
      <c r="V31" s="24"/>
      <c r="W31" s="24"/>
      <c r="X31" s="24"/>
      <c r="Y31" s="24"/>
      <c r="Z31" s="24"/>
      <c r="AA31" s="87"/>
      <c r="AB31" s="89"/>
      <c r="AC31" s="89"/>
      <c r="AD31" s="89"/>
    </row>
    <row r="32" spans="1:30" s="25" customFormat="1" ht="18" hidden="1" customHeight="1" x14ac:dyDescent="0.2">
      <c r="A32" s="83"/>
      <c r="B32" s="20"/>
      <c r="C32" s="20"/>
      <c r="D32" s="20"/>
      <c r="E32" s="20"/>
      <c r="F32" s="21"/>
      <c r="G32" s="77">
        <f>G33</f>
        <v>1</v>
      </c>
      <c r="H32" s="77">
        <f>G32+H33</f>
        <v>2</v>
      </c>
      <c r="I32" s="77">
        <f t="shared" ref="I32" si="65">H32+I33</f>
        <v>3</v>
      </c>
      <c r="J32" s="77">
        <f t="shared" ref="J32" si="66">I32+J33</f>
        <v>4</v>
      </c>
      <c r="K32" s="77">
        <f t="shared" ref="K32" si="67">J32+K33</f>
        <v>5</v>
      </c>
      <c r="L32" s="77">
        <f t="shared" ref="L32" si="68">K32+L33</f>
        <v>6</v>
      </c>
      <c r="M32" s="77">
        <f t="shared" ref="M32" si="69">L32+M33</f>
        <v>7</v>
      </c>
      <c r="N32" s="77">
        <f t="shared" ref="N32" si="70">M32+N33</f>
        <v>8</v>
      </c>
      <c r="O32" s="77">
        <f t="shared" ref="O32" si="71">N32+O33</f>
        <v>9</v>
      </c>
      <c r="P32" s="77">
        <f t="shared" ref="P32" si="72">O32+P33</f>
        <v>10</v>
      </c>
      <c r="Q32" s="77">
        <f t="shared" ref="Q32" si="73">P32+Q33</f>
        <v>11</v>
      </c>
      <c r="R32" s="77">
        <f t="shared" ref="R32" si="74">Q32+R33</f>
        <v>12</v>
      </c>
      <c r="S32" s="22">
        <f>R32</f>
        <v>12</v>
      </c>
      <c r="T32" s="24"/>
      <c r="U32" s="24"/>
      <c r="V32" s="24"/>
      <c r="W32" s="24"/>
      <c r="X32" s="24"/>
      <c r="Y32" s="24"/>
      <c r="Z32" s="24"/>
      <c r="AA32" s="87"/>
      <c r="AB32" s="89"/>
      <c r="AC32" s="89"/>
      <c r="AD32" s="89"/>
    </row>
    <row r="33" spans="1:30" s="25" customFormat="1" ht="25" customHeight="1" x14ac:dyDescent="0.2">
      <c r="A33" s="83"/>
      <c r="B33" s="156" t="s">
        <v>53</v>
      </c>
      <c r="C33" s="157"/>
      <c r="D33" s="157"/>
      <c r="E33" s="158"/>
      <c r="F33" s="21"/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  <c r="P33" s="69">
        <v>1</v>
      </c>
      <c r="Q33" s="69">
        <v>1</v>
      </c>
      <c r="R33" s="69">
        <v>1</v>
      </c>
      <c r="S33" s="22">
        <f t="shared" ref="S33" si="75">SUM(G33:R33)</f>
        <v>12</v>
      </c>
      <c r="T33" s="24"/>
      <c r="U33" s="24"/>
      <c r="V33" s="24"/>
      <c r="W33" s="24"/>
      <c r="X33" s="24"/>
      <c r="Y33" s="24"/>
      <c r="Z33" s="24"/>
      <c r="AA33" s="87"/>
      <c r="AB33" s="89"/>
      <c r="AC33" s="89"/>
      <c r="AD33" s="89"/>
    </row>
    <row r="34" spans="1:30" s="25" customFormat="1" ht="29" customHeight="1" x14ac:dyDescent="0.4">
      <c r="A34" s="83"/>
      <c r="B34" s="85" t="s">
        <v>54</v>
      </c>
      <c r="C34" s="85"/>
      <c r="D34" s="85"/>
      <c r="E34" s="85"/>
      <c r="F34" s="21"/>
      <c r="G34" s="24"/>
      <c r="H34" s="24"/>
      <c r="I34" s="24"/>
      <c r="J34" s="81">
        <f>(J35*100)/$S$35</f>
        <v>16.666666666666668</v>
      </c>
      <c r="K34" s="81">
        <f t="shared" ref="K34:O34" si="76">(K35*100)/$S$35</f>
        <v>33.333333333333336</v>
      </c>
      <c r="L34" s="81">
        <f t="shared" si="76"/>
        <v>50</v>
      </c>
      <c r="M34" s="81">
        <f t="shared" si="76"/>
        <v>66.666666666666671</v>
      </c>
      <c r="N34" s="81">
        <f t="shared" si="76"/>
        <v>83.333333333333329</v>
      </c>
      <c r="O34" s="81">
        <f t="shared" si="76"/>
        <v>100</v>
      </c>
      <c r="P34" s="79">
        <v>100</v>
      </c>
      <c r="Q34" s="79">
        <v>100</v>
      </c>
      <c r="R34" s="79">
        <v>100</v>
      </c>
      <c r="S34" s="24"/>
      <c r="T34" s="24"/>
      <c r="U34" s="24"/>
      <c r="V34" s="24"/>
      <c r="W34" s="24"/>
      <c r="X34" s="24"/>
      <c r="Y34" s="24"/>
      <c r="Z34" s="24"/>
      <c r="AA34" s="87"/>
      <c r="AB34" s="89"/>
      <c r="AC34" s="89"/>
      <c r="AD34" s="89"/>
    </row>
    <row r="35" spans="1:30" s="25" customFormat="1" ht="18" hidden="1" customHeight="1" x14ac:dyDescent="0.2">
      <c r="A35" s="83"/>
      <c r="B35" s="20"/>
      <c r="C35" s="20"/>
      <c r="D35" s="20"/>
      <c r="E35" s="20"/>
      <c r="F35" s="21"/>
      <c r="G35" s="24"/>
      <c r="H35" s="24"/>
      <c r="I35" s="24"/>
      <c r="J35" s="77">
        <f>J36</f>
        <v>1</v>
      </c>
      <c r="K35" s="77">
        <f>J35+K36</f>
        <v>2</v>
      </c>
      <c r="L35" s="77">
        <f t="shared" ref="L35" si="77">K35+L36</f>
        <v>3</v>
      </c>
      <c r="M35" s="77">
        <f t="shared" ref="M35" si="78">L35+M36</f>
        <v>4</v>
      </c>
      <c r="N35" s="77">
        <f t="shared" ref="N35" si="79">M35+N36</f>
        <v>5</v>
      </c>
      <c r="O35" s="77">
        <f t="shared" ref="O35" si="80">N35+O36</f>
        <v>6</v>
      </c>
      <c r="P35" s="35">
        <f>O35+SUM(P36:P36)</f>
        <v>6</v>
      </c>
      <c r="Q35" s="35">
        <f>P35+SUM(Q36:Q36)</f>
        <v>6</v>
      </c>
      <c r="R35" s="35">
        <f>Q35+SUM(R36:R36)</f>
        <v>6</v>
      </c>
      <c r="S35" s="22">
        <f>R35</f>
        <v>6</v>
      </c>
      <c r="T35" s="24"/>
      <c r="U35" s="24"/>
      <c r="V35" s="24"/>
      <c r="W35" s="24"/>
      <c r="X35" s="24"/>
      <c r="Y35" s="24"/>
      <c r="Z35" s="24"/>
      <c r="AA35" s="87"/>
      <c r="AB35" s="89"/>
      <c r="AC35" s="89"/>
      <c r="AD35" s="89"/>
    </row>
    <row r="36" spans="1:30" s="25" customFormat="1" ht="25" customHeight="1" x14ac:dyDescent="0.2">
      <c r="A36" s="83"/>
      <c r="B36" s="156" t="s">
        <v>55</v>
      </c>
      <c r="C36" s="157"/>
      <c r="D36" s="157"/>
      <c r="E36" s="158"/>
      <c r="F36" s="21"/>
      <c r="G36" s="24"/>
      <c r="H36" s="24"/>
      <c r="I36" s="24"/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  <c r="P36" s="35"/>
      <c r="Q36" s="35"/>
      <c r="R36" s="35"/>
      <c r="S36" s="22">
        <f>R36</f>
        <v>0</v>
      </c>
      <c r="T36" s="24"/>
      <c r="U36" s="24"/>
      <c r="V36" s="24"/>
      <c r="W36" s="24"/>
      <c r="X36" s="24"/>
      <c r="Y36" s="24"/>
      <c r="Z36" s="24"/>
      <c r="AA36" s="87"/>
      <c r="AB36" s="89"/>
      <c r="AC36" s="89"/>
      <c r="AD36" s="89"/>
    </row>
    <row r="37" spans="1:30" s="25" customFormat="1" ht="29" customHeight="1" x14ac:dyDescent="0.4">
      <c r="A37" s="83"/>
      <c r="B37" s="85" t="s">
        <v>56</v>
      </c>
      <c r="C37" s="85"/>
      <c r="D37" s="85"/>
      <c r="E37" s="85"/>
      <c r="F37" s="21"/>
      <c r="G37" s="24"/>
      <c r="H37" s="24"/>
      <c r="I37" s="24"/>
      <c r="J37" s="24"/>
      <c r="K37" s="74"/>
      <c r="L37" s="74"/>
      <c r="M37" s="81">
        <f>(M38*100)/$S$38</f>
        <v>33.333333333333336</v>
      </c>
      <c r="N37" s="81">
        <f t="shared" ref="N37:O37" si="81">(N38*100)/$S$38</f>
        <v>66.666666666666671</v>
      </c>
      <c r="O37" s="81">
        <f t="shared" si="81"/>
        <v>100</v>
      </c>
      <c r="P37" s="79">
        <v>100</v>
      </c>
      <c r="Q37" s="79">
        <v>100</v>
      </c>
      <c r="R37" s="79">
        <v>100</v>
      </c>
      <c r="S37" s="24"/>
      <c r="T37" s="24"/>
      <c r="U37" s="24"/>
      <c r="V37" s="24"/>
      <c r="W37" s="24"/>
      <c r="X37" s="24"/>
      <c r="Y37" s="24"/>
      <c r="Z37" s="24"/>
      <c r="AA37" s="87"/>
      <c r="AB37" s="89"/>
      <c r="AC37" s="89"/>
      <c r="AD37" s="89"/>
    </row>
    <row r="38" spans="1:30" s="25" customFormat="1" ht="18" hidden="1" customHeight="1" x14ac:dyDescent="0.2">
      <c r="A38" s="83"/>
      <c r="B38" s="20"/>
      <c r="C38" s="20"/>
      <c r="D38" s="20"/>
      <c r="E38" s="20"/>
      <c r="F38" s="21"/>
      <c r="G38" s="24"/>
      <c r="H38" s="24"/>
      <c r="I38" s="24"/>
      <c r="J38" s="24"/>
      <c r="K38" s="24"/>
      <c r="L38" s="24"/>
      <c r="M38" s="24">
        <f>L38+(SUM(M39:M39))</f>
        <v>1</v>
      </c>
      <c r="N38" s="24">
        <f>M38+(SUM(N39:N39))</f>
        <v>2</v>
      </c>
      <c r="O38" s="24">
        <f>N38+SUM(O39:O39)</f>
        <v>3</v>
      </c>
      <c r="P38" s="24">
        <f>O38+SUM(P39:P39)</f>
        <v>3</v>
      </c>
      <c r="Q38" s="24">
        <f>P38+SUM(Q39:Q39)</f>
        <v>3</v>
      </c>
      <c r="R38" s="24">
        <f>Q38+SUM(R39:R39)</f>
        <v>3</v>
      </c>
      <c r="S38" s="22">
        <f>R38</f>
        <v>3</v>
      </c>
      <c r="T38" s="24"/>
      <c r="U38" s="24"/>
      <c r="V38" s="24"/>
      <c r="W38" s="24"/>
      <c r="X38" s="24"/>
      <c r="Y38" s="24"/>
      <c r="Z38" s="24"/>
      <c r="AA38" s="87"/>
      <c r="AB38" s="89"/>
      <c r="AC38" s="89"/>
      <c r="AD38" s="89"/>
    </row>
    <row r="39" spans="1:30" s="25" customFormat="1" ht="25" customHeight="1" x14ac:dyDescent="0.2">
      <c r="A39" s="83"/>
      <c r="B39" s="156" t="s">
        <v>57</v>
      </c>
      <c r="C39" s="157"/>
      <c r="D39" s="157"/>
      <c r="E39" s="158"/>
      <c r="F39" s="21"/>
      <c r="G39" s="24"/>
      <c r="H39" s="24"/>
      <c r="I39" s="24"/>
      <c r="J39" s="24"/>
      <c r="K39" s="75"/>
      <c r="L39" s="75"/>
      <c r="M39" s="69">
        <v>1</v>
      </c>
      <c r="N39" s="69">
        <v>1</v>
      </c>
      <c r="O39" s="69">
        <v>1</v>
      </c>
      <c r="P39" s="24"/>
      <c r="Q39" s="24"/>
      <c r="R39" s="24"/>
      <c r="S39" s="22">
        <f t="shared" ref="S39" si="82">SUM(G39:R39)</f>
        <v>3</v>
      </c>
      <c r="T39" s="24"/>
      <c r="U39" s="24"/>
      <c r="V39" s="24"/>
      <c r="W39" s="24"/>
      <c r="X39" s="24"/>
      <c r="Y39" s="24"/>
      <c r="Z39" s="24"/>
      <c r="AA39" s="87"/>
      <c r="AB39" s="89"/>
      <c r="AC39" s="89"/>
      <c r="AD39" s="89"/>
    </row>
    <row r="40" spans="1:30" s="25" customFormat="1" ht="29" customHeight="1" x14ac:dyDescent="0.4">
      <c r="A40" s="83"/>
      <c r="B40" s="85" t="s">
        <v>58</v>
      </c>
      <c r="C40" s="85"/>
      <c r="D40" s="85"/>
      <c r="E40" s="85"/>
      <c r="F40" s="21"/>
      <c r="G40" s="81">
        <f>(G41*100)/$S$41</f>
        <v>8.3333333333333339</v>
      </c>
      <c r="H40" s="81">
        <f t="shared" ref="H40:M40" si="83">(H41*100)/$S$41</f>
        <v>16.666666666666668</v>
      </c>
      <c r="I40" s="81">
        <f t="shared" si="83"/>
        <v>25</v>
      </c>
      <c r="J40" s="81">
        <f t="shared" si="83"/>
        <v>33.333333333333336</v>
      </c>
      <c r="K40" s="81">
        <f t="shared" si="83"/>
        <v>41.666666666666664</v>
      </c>
      <c r="L40" s="81">
        <f t="shared" si="83"/>
        <v>50</v>
      </c>
      <c r="M40" s="81">
        <f t="shared" si="83"/>
        <v>58.333333333333336</v>
      </c>
      <c r="N40" s="81">
        <f>(N41*100)/$S$41</f>
        <v>66.666666666666671</v>
      </c>
      <c r="O40" s="81">
        <f t="shared" ref="O40" si="84">(O41*100)/$S$41</f>
        <v>75</v>
      </c>
      <c r="P40" s="81">
        <f t="shared" ref="P40" si="85">(P41*100)/$S$41</f>
        <v>83.333333333333329</v>
      </c>
      <c r="Q40" s="81">
        <f t="shared" ref="Q40" si="86">(Q41*100)/$S$41</f>
        <v>91.666666666666671</v>
      </c>
      <c r="R40" s="81">
        <f>(R41*100)/$S$41</f>
        <v>100</v>
      </c>
      <c r="S40" s="24"/>
      <c r="T40" s="24"/>
      <c r="U40" s="24"/>
      <c r="V40" s="24"/>
      <c r="W40" s="24"/>
      <c r="X40" s="24"/>
      <c r="Y40" s="24"/>
      <c r="Z40" s="24"/>
      <c r="AA40" s="87"/>
      <c r="AB40" s="89"/>
      <c r="AC40" s="89"/>
      <c r="AD40" s="89"/>
    </row>
    <row r="41" spans="1:30" s="25" customFormat="1" ht="18" hidden="1" customHeight="1" x14ac:dyDescent="0.2">
      <c r="A41" s="83"/>
      <c r="B41" s="20"/>
      <c r="C41" s="20"/>
      <c r="D41" s="20"/>
      <c r="E41" s="20"/>
      <c r="F41" s="21"/>
      <c r="G41" s="77">
        <f>G42</f>
        <v>1</v>
      </c>
      <c r="H41" s="77">
        <f>G41+H42</f>
        <v>2</v>
      </c>
      <c r="I41" s="77">
        <f t="shared" ref="I41" si="87">H41+I42</f>
        <v>3</v>
      </c>
      <c r="J41" s="77">
        <f t="shared" ref="J41" si="88">I41+J42</f>
        <v>4</v>
      </c>
      <c r="K41" s="77">
        <f t="shared" ref="K41" si="89">J41+K42</f>
        <v>5</v>
      </c>
      <c r="L41" s="77">
        <f t="shared" ref="L41" si="90">K41+L42</f>
        <v>6</v>
      </c>
      <c r="M41" s="77">
        <f t="shared" ref="M41" si="91">L41+M42</f>
        <v>7</v>
      </c>
      <c r="N41" s="77">
        <f t="shared" ref="N41" si="92">M41+N42</f>
        <v>8</v>
      </c>
      <c r="O41" s="77">
        <f t="shared" ref="O41" si="93">N41+O42</f>
        <v>9</v>
      </c>
      <c r="P41" s="77">
        <f t="shared" ref="P41" si="94">O41+P42</f>
        <v>10</v>
      </c>
      <c r="Q41" s="77">
        <f t="shared" ref="Q41" si="95">P41+Q42</f>
        <v>11</v>
      </c>
      <c r="R41" s="77">
        <f t="shared" ref="R41" si="96">Q41+R42</f>
        <v>12</v>
      </c>
      <c r="S41" s="22">
        <f>R41</f>
        <v>12</v>
      </c>
      <c r="T41" s="24"/>
      <c r="U41" s="24"/>
      <c r="V41" s="24"/>
      <c r="W41" s="24"/>
      <c r="X41" s="24"/>
      <c r="Y41" s="24"/>
      <c r="Z41" s="24"/>
      <c r="AA41" s="87"/>
      <c r="AB41" s="89"/>
      <c r="AC41" s="89"/>
      <c r="AD41" s="89"/>
    </row>
    <row r="42" spans="1:30" s="25" customFormat="1" ht="25" customHeight="1" x14ac:dyDescent="0.2">
      <c r="A42" s="83"/>
      <c r="B42" s="156" t="s">
        <v>59</v>
      </c>
      <c r="C42" s="157"/>
      <c r="D42" s="157"/>
      <c r="E42" s="158"/>
      <c r="F42" s="21"/>
      <c r="G42" s="69">
        <v>1</v>
      </c>
      <c r="H42" s="69">
        <v>1</v>
      </c>
      <c r="I42" s="69">
        <v>1</v>
      </c>
      <c r="J42" s="69">
        <v>1</v>
      </c>
      <c r="K42" s="69">
        <v>1</v>
      </c>
      <c r="L42" s="69">
        <v>1</v>
      </c>
      <c r="M42" s="69">
        <v>1</v>
      </c>
      <c r="N42" s="69">
        <v>1</v>
      </c>
      <c r="O42" s="69">
        <v>1</v>
      </c>
      <c r="P42" s="69">
        <v>1</v>
      </c>
      <c r="Q42" s="69">
        <v>1</v>
      </c>
      <c r="R42" s="69">
        <v>1</v>
      </c>
      <c r="S42" s="22">
        <f t="shared" ref="S42" si="97">SUM(G42:R42)</f>
        <v>12</v>
      </c>
      <c r="T42" s="24"/>
      <c r="U42" s="24"/>
      <c r="V42" s="24"/>
      <c r="W42" s="24"/>
      <c r="X42" s="24"/>
      <c r="Y42" s="24"/>
      <c r="Z42" s="24"/>
      <c r="AA42" s="87"/>
      <c r="AB42" s="89"/>
      <c r="AC42" s="89"/>
      <c r="AD42" s="89"/>
    </row>
    <row r="43" spans="1:30" s="25" customFormat="1" ht="29" customHeight="1" x14ac:dyDescent="0.4">
      <c r="A43" s="83"/>
      <c r="B43" s="85" t="s">
        <v>60</v>
      </c>
      <c r="C43" s="85"/>
      <c r="D43" s="85"/>
      <c r="E43" s="85"/>
      <c r="F43" s="21"/>
      <c r="G43" s="81">
        <f>(G44*100)/$S$44</f>
        <v>8.3333333333333339</v>
      </c>
      <c r="H43" s="81">
        <f t="shared" ref="H43:K43" si="98">(H44*100)/$S$44</f>
        <v>16.666666666666668</v>
      </c>
      <c r="I43" s="81">
        <f t="shared" si="98"/>
        <v>25</v>
      </c>
      <c r="J43" s="81">
        <f t="shared" si="98"/>
        <v>33.333333333333336</v>
      </c>
      <c r="K43" s="81">
        <f t="shared" si="98"/>
        <v>41.666666666666664</v>
      </c>
      <c r="L43" s="81">
        <f>(L44*100)/$S$44</f>
        <v>50</v>
      </c>
      <c r="M43" s="81">
        <f t="shared" ref="M43" si="99">(M44*100)/$S$44</f>
        <v>58.333333333333336</v>
      </c>
      <c r="N43" s="81">
        <f t="shared" ref="N43" si="100">(N44*100)/$S$44</f>
        <v>66.666666666666671</v>
      </c>
      <c r="O43" s="81">
        <f t="shared" ref="O43" si="101">(O44*100)/$S$44</f>
        <v>75</v>
      </c>
      <c r="P43" s="81">
        <f>(P44*100)/$S$44</f>
        <v>83.333333333333329</v>
      </c>
      <c r="Q43" s="81">
        <f t="shared" ref="Q43" si="102">(Q44*100)/$S$44</f>
        <v>91.666666666666671</v>
      </c>
      <c r="R43" s="81">
        <f>(R44*100)/$S$44</f>
        <v>100</v>
      </c>
      <c r="S43" s="24"/>
      <c r="T43" s="24"/>
      <c r="U43" s="24"/>
      <c r="V43" s="24"/>
      <c r="W43" s="24"/>
      <c r="X43" s="24"/>
      <c r="Y43" s="24"/>
      <c r="Z43" s="24"/>
      <c r="AA43" s="87"/>
      <c r="AB43" s="89"/>
      <c r="AC43" s="89"/>
      <c r="AD43" s="89"/>
    </row>
    <row r="44" spans="1:30" s="25" customFormat="1" ht="18" hidden="1" customHeight="1" x14ac:dyDescent="0.2">
      <c r="A44" s="83"/>
      <c r="B44" s="20"/>
      <c r="C44" s="20"/>
      <c r="D44" s="20"/>
      <c r="E44" s="20"/>
      <c r="F44" s="21"/>
      <c r="G44" s="77">
        <f>G45</f>
        <v>1</v>
      </c>
      <c r="H44" s="77">
        <f>G44+H45</f>
        <v>2</v>
      </c>
      <c r="I44" s="77">
        <f t="shared" ref="I44" si="103">H44+I45</f>
        <v>3</v>
      </c>
      <c r="J44" s="77">
        <f t="shared" ref="J44" si="104">I44+J45</f>
        <v>4</v>
      </c>
      <c r="K44" s="77">
        <f t="shared" ref="K44" si="105">J44+K45</f>
        <v>5</v>
      </c>
      <c r="L44" s="77">
        <f t="shared" ref="L44" si="106">K44+L45</f>
        <v>6</v>
      </c>
      <c r="M44" s="77">
        <f t="shared" ref="M44" si="107">L44+M45</f>
        <v>7</v>
      </c>
      <c r="N44" s="77">
        <f t="shared" ref="N44" si="108">M44+N45</f>
        <v>8</v>
      </c>
      <c r="O44" s="77">
        <f t="shared" ref="O44" si="109">N44+O45</f>
        <v>9</v>
      </c>
      <c r="P44" s="77">
        <f t="shared" ref="P44" si="110">O44+P45</f>
        <v>10</v>
      </c>
      <c r="Q44" s="77">
        <f t="shared" ref="Q44" si="111">P44+Q45</f>
        <v>11</v>
      </c>
      <c r="R44" s="77">
        <f t="shared" ref="R44" si="112">Q44+R45</f>
        <v>12</v>
      </c>
      <c r="S44" s="22">
        <f>R44</f>
        <v>12</v>
      </c>
      <c r="T44" s="24"/>
      <c r="U44" s="24"/>
      <c r="V44" s="24"/>
      <c r="W44" s="24"/>
      <c r="X44" s="24"/>
      <c r="Y44" s="24"/>
      <c r="Z44" s="24"/>
      <c r="AA44" s="87"/>
      <c r="AB44" s="89"/>
      <c r="AC44" s="89"/>
      <c r="AD44" s="89"/>
    </row>
    <row r="45" spans="1:30" s="25" customFormat="1" ht="25" customHeight="1" x14ac:dyDescent="0.2">
      <c r="A45" s="83"/>
      <c r="B45" s="156" t="s">
        <v>61</v>
      </c>
      <c r="C45" s="157"/>
      <c r="D45" s="157"/>
      <c r="E45" s="158"/>
      <c r="F45" s="21"/>
      <c r="G45" s="69">
        <v>1</v>
      </c>
      <c r="H45" s="69">
        <v>1</v>
      </c>
      <c r="I45" s="69">
        <v>1</v>
      </c>
      <c r="J45" s="69">
        <v>1</v>
      </c>
      <c r="K45" s="69">
        <v>1</v>
      </c>
      <c r="L45" s="69">
        <v>1</v>
      </c>
      <c r="M45" s="69">
        <v>1</v>
      </c>
      <c r="N45" s="69">
        <v>1</v>
      </c>
      <c r="O45" s="69">
        <v>1</v>
      </c>
      <c r="P45" s="69">
        <v>1</v>
      </c>
      <c r="Q45" s="69">
        <v>1</v>
      </c>
      <c r="R45" s="69">
        <v>1</v>
      </c>
      <c r="S45" s="22">
        <f t="shared" ref="S45" si="113">SUM(G45:R45)</f>
        <v>12</v>
      </c>
      <c r="T45" s="24"/>
      <c r="U45" s="24"/>
      <c r="V45" s="24"/>
      <c r="W45" s="24"/>
      <c r="X45" s="24"/>
      <c r="Y45" s="24"/>
      <c r="Z45" s="24"/>
      <c r="AA45" s="87"/>
      <c r="AB45" s="89"/>
      <c r="AC45" s="89"/>
      <c r="AD45" s="89"/>
    </row>
    <row r="46" spans="1:30" s="25" customFormat="1" x14ac:dyDescent="0.4">
      <c r="A46" s="83"/>
      <c r="B46" s="85" t="s">
        <v>62</v>
      </c>
      <c r="C46" s="85"/>
      <c r="D46" s="85"/>
      <c r="E46" s="85"/>
      <c r="F46" s="21"/>
      <c r="G46" s="81">
        <f>(G47*100)/$S$47</f>
        <v>8.3333333333333339</v>
      </c>
      <c r="H46" s="81">
        <f t="shared" ref="H46:J46" si="114">(H47*100)/$S$47</f>
        <v>16.666666666666668</v>
      </c>
      <c r="I46" s="81">
        <f t="shared" si="114"/>
        <v>25</v>
      </c>
      <c r="J46" s="81">
        <f t="shared" si="114"/>
        <v>33.333333333333336</v>
      </c>
      <c r="K46" s="81">
        <f>(K47*100)/$S$47</f>
        <v>41.666666666666664</v>
      </c>
      <c r="L46" s="81">
        <f t="shared" ref="L46" si="115">(L47*100)/$S$47</f>
        <v>50</v>
      </c>
      <c r="M46" s="81">
        <f t="shared" ref="M46" si="116">(M47*100)/$S$47</f>
        <v>58.333333333333336</v>
      </c>
      <c r="N46" s="81">
        <f>(N47*100)/$S$47</f>
        <v>66.666666666666671</v>
      </c>
      <c r="O46" s="81">
        <f t="shared" ref="O46" si="117">(O47*100)/$S$47</f>
        <v>75</v>
      </c>
      <c r="P46" s="81">
        <f t="shared" ref="P46" si="118">(P47*100)/$S$47</f>
        <v>83.333333333333329</v>
      </c>
      <c r="Q46" s="81">
        <f>(Q47*100)/$S$47</f>
        <v>91.666666666666671</v>
      </c>
      <c r="R46" s="81">
        <f>(R47*100)/$S$47</f>
        <v>100</v>
      </c>
      <c r="S46" s="24"/>
      <c r="T46" s="24"/>
      <c r="U46" s="24"/>
      <c r="V46" s="24"/>
      <c r="W46" s="24"/>
      <c r="X46" s="24"/>
      <c r="Y46" s="24"/>
      <c r="Z46" s="24"/>
      <c r="AA46" s="87"/>
      <c r="AB46" s="89"/>
      <c r="AC46" s="89"/>
      <c r="AD46" s="89"/>
    </row>
    <row r="47" spans="1:30" s="25" customFormat="1" ht="20" hidden="1" customHeight="1" x14ac:dyDescent="0.2">
      <c r="A47" s="83"/>
      <c r="B47" s="20"/>
      <c r="C47" s="20"/>
      <c r="D47" s="20"/>
      <c r="E47" s="20"/>
      <c r="F47" s="21"/>
      <c r="G47" s="77">
        <f>G48</f>
        <v>1</v>
      </c>
      <c r="H47" s="77">
        <f>G47+H48</f>
        <v>2</v>
      </c>
      <c r="I47" s="77">
        <f t="shared" ref="I47" si="119">H47+I48</f>
        <v>3</v>
      </c>
      <c r="J47" s="77">
        <f t="shared" ref="J47" si="120">I47+J48</f>
        <v>4</v>
      </c>
      <c r="K47" s="77">
        <f t="shared" ref="K47" si="121">J47+K48</f>
        <v>5</v>
      </c>
      <c r="L47" s="77">
        <f t="shared" ref="L47" si="122">K47+L48</f>
        <v>6</v>
      </c>
      <c r="M47" s="77">
        <f>L47+M48+M49</f>
        <v>7</v>
      </c>
      <c r="N47" s="77">
        <f t="shared" ref="N47:Q47" si="123">M47+N48+N49</f>
        <v>8</v>
      </c>
      <c r="O47" s="77">
        <f t="shared" si="123"/>
        <v>9</v>
      </c>
      <c r="P47" s="77">
        <f t="shared" si="123"/>
        <v>10</v>
      </c>
      <c r="Q47" s="77">
        <f t="shared" si="123"/>
        <v>11</v>
      </c>
      <c r="R47" s="77">
        <f>Q47+R48+R49</f>
        <v>12</v>
      </c>
      <c r="S47" s="22">
        <f>R47</f>
        <v>12</v>
      </c>
      <c r="T47" s="24"/>
      <c r="U47" s="24"/>
      <c r="V47" s="24"/>
      <c r="W47" s="24"/>
      <c r="X47" s="24"/>
      <c r="Y47" s="24"/>
      <c r="Z47" s="24"/>
      <c r="AA47" s="56"/>
      <c r="AB47" s="56"/>
      <c r="AC47" s="56"/>
      <c r="AD47" s="56"/>
    </row>
    <row r="48" spans="1:30" ht="25" customHeight="1" x14ac:dyDescent="0.2">
      <c r="A48" s="83"/>
      <c r="B48" s="160" t="s">
        <v>63</v>
      </c>
      <c r="C48" s="161"/>
      <c r="D48" s="161"/>
      <c r="E48" s="162"/>
      <c r="F48" s="21"/>
      <c r="G48" s="69">
        <v>1</v>
      </c>
      <c r="H48" s="69">
        <v>1</v>
      </c>
      <c r="I48" s="69">
        <v>1</v>
      </c>
      <c r="J48" s="69">
        <v>1</v>
      </c>
      <c r="K48" s="69">
        <v>1</v>
      </c>
      <c r="L48" s="69">
        <v>1</v>
      </c>
      <c r="M48" s="73"/>
      <c r="N48" s="73"/>
      <c r="O48" s="22"/>
      <c r="P48" s="22"/>
      <c r="Q48" s="22"/>
      <c r="R48" s="22"/>
      <c r="S48" s="22">
        <f t="shared" ref="S48:S49" si="124">SUM(G48:R48)</f>
        <v>6</v>
      </c>
      <c r="T48" s="22"/>
      <c r="U48" s="22"/>
      <c r="V48" s="22"/>
      <c r="W48" s="22"/>
      <c r="X48" s="22"/>
      <c r="Y48" s="22"/>
      <c r="Z48" s="22"/>
      <c r="AA48" s="61"/>
      <c r="AB48" s="58"/>
      <c r="AC48" s="58"/>
      <c r="AD48" s="58"/>
    </row>
    <row r="49" spans="1:30" ht="25" customHeight="1" x14ac:dyDescent="0.2">
      <c r="A49" s="71"/>
      <c r="B49" s="153" t="s">
        <v>64</v>
      </c>
      <c r="C49" s="154"/>
      <c r="D49" s="154"/>
      <c r="E49" s="155"/>
      <c r="F49" s="21"/>
      <c r="G49" s="22"/>
      <c r="H49" s="22"/>
      <c r="I49" s="22"/>
      <c r="J49" s="22"/>
      <c r="K49" s="22"/>
      <c r="L49" s="22"/>
      <c r="M49" s="69">
        <v>1</v>
      </c>
      <c r="N49" s="69">
        <v>1</v>
      </c>
      <c r="O49" s="69">
        <v>1</v>
      </c>
      <c r="P49" s="69">
        <v>1</v>
      </c>
      <c r="Q49" s="69">
        <v>1</v>
      </c>
      <c r="R49" s="69">
        <v>1</v>
      </c>
      <c r="S49" s="22">
        <f t="shared" si="124"/>
        <v>6</v>
      </c>
      <c r="T49" s="22"/>
      <c r="U49" s="22"/>
      <c r="V49" s="22"/>
      <c r="W49" s="22"/>
      <c r="X49" s="22"/>
      <c r="Y49" s="22"/>
      <c r="Z49" s="22"/>
      <c r="AA49" s="60"/>
      <c r="AB49" s="61"/>
      <c r="AC49" s="59"/>
      <c r="AD49" s="59"/>
    </row>
    <row r="50" spans="1:30" ht="27" customHeight="1" x14ac:dyDescent="0.2">
      <c r="A50" s="92" t="s">
        <v>65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4"/>
      <c r="AA50" s="54"/>
      <c r="AB50" s="54"/>
      <c r="AC50" s="54"/>
      <c r="AD50" s="54"/>
    </row>
    <row r="51" spans="1:30" s="19" customFormat="1" ht="70" customHeight="1" x14ac:dyDescent="0.2">
      <c r="A51" s="12">
        <v>2.1</v>
      </c>
      <c r="B51" s="12" t="s">
        <v>66</v>
      </c>
      <c r="C51" s="12" t="s">
        <v>67</v>
      </c>
      <c r="D51" s="12" t="s">
        <v>68</v>
      </c>
      <c r="E51" s="12" t="s">
        <v>69</v>
      </c>
      <c r="F51" s="13"/>
      <c r="G51" s="50"/>
      <c r="H51" s="50"/>
      <c r="I51" s="50"/>
      <c r="J51" s="50"/>
      <c r="K51" s="51">
        <f t="shared" ref="K51:R51" si="125">(K52+K59+K65)*100/$S$51</f>
        <v>4.166666666666667</v>
      </c>
      <c r="L51" s="51">
        <f t="shared" si="125"/>
        <v>12.5</v>
      </c>
      <c r="M51" s="51">
        <f t="shared" si="125"/>
        <v>24.166666666666668</v>
      </c>
      <c r="N51" s="51">
        <f t="shared" si="125"/>
        <v>43.333333333333336</v>
      </c>
      <c r="O51" s="51">
        <f t="shared" si="125"/>
        <v>55</v>
      </c>
      <c r="P51" s="51">
        <f t="shared" si="125"/>
        <v>66.666666666666671</v>
      </c>
      <c r="Q51" s="51">
        <f t="shared" si="125"/>
        <v>81.666666666666671</v>
      </c>
      <c r="R51" s="51">
        <f t="shared" si="125"/>
        <v>100</v>
      </c>
      <c r="S51" s="14">
        <v>300</v>
      </c>
      <c r="T51" s="15" t="s">
        <v>70</v>
      </c>
      <c r="U51" s="16" t="s">
        <v>28</v>
      </c>
      <c r="V51" s="17"/>
      <c r="W51" s="17"/>
      <c r="X51" s="17"/>
      <c r="Y51" s="17"/>
      <c r="Z51" s="18"/>
      <c r="AA51" s="55"/>
      <c r="AB51" s="55"/>
      <c r="AC51" s="55"/>
      <c r="AD51" s="55"/>
    </row>
    <row r="52" spans="1:30" x14ac:dyDescent="0.2">
      <c r="A52" s="82"/>
      <c r="B52" s="85" t="s">
        <v>71</v>
      </c>
      <c r="C52" s="85"/>
      <c r="D52" s="85"/>
      <c r="E52" s="85"/>
      <c r="F52" s="21"/>
      <c r="G52" s="22"/>
      <c r="H52" s="22"/>
      <c r="I52" s="22"/>
      <c r="J52" s="22"/>
      <c r="K52" s="22"/>
      <c r="L52" s="22"/>
      <c r="M52" s="67">
        <f t="shared" ref="M52:R52" si="126">(M53*100)/$S$53</f>
        <v>10</v>
      </c>
      <c r="N52" s="67">
        <f t="shared" si="126"/>
        <v>30</v>
      </c>
      <c r="O52" s="67">
        <f t="shared" si="126"/>
        <v>40</v>
      </c>
      <c r="P52" s="67">
        <f t="shared" si="126"/>
        <v>50</v>
      </c>
      <c r="Q52" s="67">
        <f t="shared" si="126"/>
        <v>70</v>
      </c>
      <c r="R52" s="67">
        <f t="shared" si="126"/>
        <v>100</v>
      </c>
      <c r="S52" s="22"/>
      <c r="T52" s="22"/>
      <c r="U52" s="22"/>
      <c r="V52" s="22"/>
      <c r="W52" s="22"/>
      <c r="X52" s="22"/>
      <c r="Y52" s="22"/>
      <c r="Z52" s="22"/>
      <c r="AA52" s="86"/>
      <c r="AB52" s="87"/>
      <c r="AC52" s="88"/>
      <c r="AD52" s="88"/>
    </row>
    <row r="53" spans="1:30" ht="15" hidden="1" customHeight="1" x14ac:dyDescent="0.2">
      <c r="A53" s="83"/>
      <c r="B53" s="20"/>
      <c r="C53" s="20"/>
      <c r="D53" s="20"/>
      <c r="E53" s="20"/>
      <c r="F53" s="21"/>
      <c r="G53" s="22"/>
      <c r="H53" s="22"/>
      <c r="I53" s="22"/>
      <c r="J53" s="22"/>
      <c r="K53" s="22"/>
      <c r="L53" s="22"/>
      <c r="M53" s="23">
        <f>SUM(M54:M58)</f>
        <v>1</v>
      </c>
      <c r="N53" s="23">
        <f>M53+(SUM(N54:N58))</f>
        <v>3</v>
      </c>
      <c r="O53" s="22">
        <f>N53+(SUM(O54:O58))</f>
        <v>4</v>
      </c>
      <c r="P53" s="22">
        <f>O53+(SUM(P54:P58))</f>
        <v>5</v>
      </c>
      <c r="Q53" s="22">
        <f>P53+(SUM(Q54:Q58))</f>
        <v>7</v>
      </c>
      <c r="R53" s="22">
        <f>Q53+(SUM(R54:R58))</f>
        <v>10</v>
      </c>
      <c r="S53" s="22">
        <f>R53</f>
        <v>10</v>
      </c>
      <c r="T53" s="22"/>
      <c r="U53" s="22"/>
      <c r="V53" s="22"/>
      <c r="W53" s="22"/>
      <c r="X53" s="22"/>
      <c r="Y53" s="22"/>
      <c r="Z53" s="22"/>
      <c r="AA53" s="86"/>
      <c r="AB53" s="87"/>
      <c r="AC53" s="89"/>
      <c r="AD53" s="89"/>
    </row>
    <row r="54" spans="1:30" ht="25" customHeight="1" x14ac:dyDescent="0.2">
      <c r="A54" s="83"/>
      <c r="B54" s="91" t="s">
        <v>72</v>
      </c>
      <c r="C54" s="91"/>
      <c r="D54" s="91"/>
      <c r="E54" s="91"/>
      <c r="F54" s="21"/>
      <c r="G54" s="22"/>
      <c r="H54" s="22"/>
      <c r="I54" s="22"/>
      <c r="J54" s="22"/>
      <c r="K54" s="22"/>
      <c r="L54" s="22"/>
      <c r="M54" s="66">
        <v>1</v>
      </c>
      <c r="N54" s="66">
        <v>1</v>
      </c>
      <c r="O54" s="22"/>
      <c r="P54" s="22"/>
      <c r="Q54" s="22"/>
      <c r="R54" s="22"/>
      <c r="S54" s="22">
        <f>SUM(G54:R54)</f>
        <v>2</v>
      </c>
      <c r="T54" s="22"/>
      <c r="U54" s="22"/>
      <c r="V54" s="22"/>
      <c r="W54" s="22"/>
      <c r="X54" s="22"/>
      <c r="Y54" s="22"/>
      <c r="Z54" s="22"/>
      <c r="AA54" s="86"/>
      <c r="AB54" s="87"/>
      <c r="AC54" s="89"/>
      <c r="AD54" s="89"/>
    </row>
    <row r="55" spans="1:30" ht="25" customHeight="1" x14ac:dyDescent="0.2">
      <c r="A55" s="83"/>
      <c r="B55" s="153" t="s">
        <v>73</v>
      </c>
      <c r="C55" s="154"/>
      <c r="D55" s="154"/>
      <c r="E55" s="155"/>
      <c r="F55" s="21"/>
      <c r="G55" s="22"/>
      <c r="H55" s="22"/>
      <c r="I55" s="22"/>
      <c r="J55" s="22"/>
      <c r="K55" s="22"/>
      <c r="L55" s="22"/>
      <c r="M55" s="22"/>
      <c r="N55" s="66">
        <v>1</v>
      </c>
      <c r="O55" s="66">
        <v>1</v>
      </c>
      <c r="P55" s="22"/>
      <c r="Q55" s="22"/>
      <c r="R55" s="22"/>
      <c r="S55" s="22">
        <f t="shared" ref="S55:S111" si="127">SUM(G55:R55)</f>
        <v>2</v>
      </c>
      <c r="T55" s="22"/>
      <c r="U55" s="22"/>
      <c r="V55" s="22"/>
      <c r="W55" s="22"/>
      <c r="X55" s="22"/>
      <c r="Y55" s="22"/>
      <c r="Z55" s="22"/>
      <c r="AA55" s="86"/>
      <c r="AB55" s="87"/>
      <c r="AC55" s="89"/>
      <c r="AD55" s="89"/>
    </row>
    <row r="56" spans="1:30" ht="25" customHeight="1" x14ac:dyDescent="0.2">
      <c r="A56" s="83"/>
      <c r="B56" s="153" t="s">
        <v>74</v>
      </c>
      <c r="C56" s="154"/>
      <c r="D56" s="154"/>
      <c r="E56" s="155"/>
      <c r="F56" s="21"/>
      <c r="G56" s="22"/>
      <c r="H56" s="22"/>
      <c r="I56" s="22"/>
      <c r="J56" s="22"/>
      <c r="K56" s="22"/>
      <c r="L56" s="22"/>
      <c r="M56" s="22"/>
      <c r="N56" s="22"/>
      <c r="O56" s="22"/>
      <c r="P56" s="66">
        <v>1</v>
      </c>
      <c r="Q56" s="66">
        <v>1</v>
      </c>
      <c r="R56" s="66">
        <v>1</v>
      </c>
      <c r="S56" s="22">
        <f t="shared" si="127"/>
        <v>3</v>
      </c>
      <c r="T56" s="22"/>
      <c r="U56" s="22"/>
      <c r="V56" s="22"/>
      <c r="W56" s="22"/>
      <c r="X56" s="22"/>
      <c r="Y56" s="22"/>
      <c r="Z56" s="22"/>
      <c r="AA56" s="86"/>
      <c r="AB56" s="87"/>
      <c r="AC56" s="89"/>
      <c r="AD56" s="89"/>
    </row>
    <row r="57" spans="1:30" ht="25" customHeight="1" x14ac:dyDescent="0.2">
      <c r="A57" s="83"/>
      <c r="B57" s="153" t="s">
        <v>75</v>
      </c>
      <c r="C57" s="154"/>
      <c r="D57" s="154"/>
      <c r="E57" s="155"/>
      <c r="F57" s="2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66">
        <v>1</v>
      </c>
      <c r="R57" s="66">
        <v>1</v>
      </c>
      <c r="S57" s="22">
        <f t="shared" si="127"/>
        <v>2</v>
      </c>
      <c r="T57" s="22"/>
      <c r="U57" s="22"/>
      <c r="V57" s="22"/>
      <c r="W57" s="22"/>
      <c r="X57" s="22"/>
      <c r="Y57" s="22"/>
      <c r="Z57" s="22"/>
      <c r="AA57" s="86"/>
      <c r="AB57" s="87"/>
      <c r="AC57" s="89"/>
      <c r="AD57" s="89"/>
    </row>
    <row r="58" spans="1:30" ht="25" customHeight="1" x14ac:dyDescent="0.2">
      <c r="A58" s="83"/>
      <c r="B58" s="153" t="s">
        <v>76</v>
      </c>
      <c r="C58" s="154"/>
      <c r="D58" s="154"/>
      <c r="E58" s="155"/>
      <c r="F58" s="2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66">
        <v>1</v>
      </c>
      <c r="S58" s="22">
        <f t="shared" si="127"/>
        <v>1</v>
      </c>
      <c r="T58" s="22"/>
      <c r="U58" s="22"/>
      <c r="V58" s="22"/>
      <c r="W58" s="22"/>
      <c r="X58" s="22"/>
      <c r="Y58" s="22"/>
      <c r="Z58" s="22"/>
      <c r="AA58" s="86"/>
      <c r="AB58" s="159"/>
      <c r="AC58" s="133"/>
      <c r="AD58" s="133"/>
    </row>
    <row r="59" spans="1:30" s="25" customFormat="1" x14ac:dyDescent="0.4">
      <c r="A59" s="83"/>
      <c r="B59" s="85" t="s">
        <v>77</v>
      </c>
      <c r="C59" s="85"/>
      <c r="D59" s="85"/>
      <c r="E59" s="85"/>
      <c r="F59" s="21"/>
      <c r="G59" s="24"/>
      <c r="H59" s="24"/>
      <c r="I59" s="24"/>
      <c r="J59" s="24"/>
      <c r="K59" s="68">
        <f t="shared" ref="K59:R59" si="128">(K60*100)/$S$60</f>
        <v>12.5</v>
      </c>
      <c r="L59" s="68">
        <f t="shared" si="128"/>
        <v>25</v>
      </c>
      <c r="M59" s="68">
        <f t="shared" si="128"/>
        <v>37.5</v>
      </c>
      <c r="N59" s="68">
        <f t="shared" si="128"/>
        <v>50</v>
      </c>
      <c r="O59" s="68">
        <f t="shared" si="128"/>
        <v>62.5</v>
      </c>
      <c r="P59" s="68">
        <f t="shared" si="128"/>
        <v>75</v>
      </c>
      <c r="Q59" s="68">
        <f t="shared" si="128"/>
        <v>87.5</v>
      </c>
      <c r="R59" s="68">
        <f t="shared" si="128"/>
        <v>100</v>
      </c>
      <c r="S59" s="24"/>
      <c r="T59" s="24"/>
      <c r="U59" s="24"/>
      <c r="V59" s="24"/>
      <c r="W59" s="24"/>
      <c r="X59" s="24"/>
      <c r="Y59" s="24"/>
      <c r="Z59" s="24"/>
      <c r="AA59" s="87"/>
      <c r="AB59" s="88"/>
      <c r="AC59" s="88"/>
      <c r="AD59" s="88"/>
    </row>
    <row r="60" spans="1:30" s="25" customFormat="1" ht="24" hidden="1" customHeight="1" x14ac:dyDescent="0.2">
      <c r="A60" s="83"/>
      <c r="B60" s="20"/>
      <c r="C60" s="20"/>
      <c r="D60" s="20"/>
      <c r="E60" s="20"/>
      <c r="F60" s="21"/>
      <c r="G60" s="24"/>
      <c r="H60" s="24"/>
      <c r="I60" s="24"/>
      <c r="J60" s="24"/>
      <c r="K60" s="24">
        <f>SUM(K61:K64)</f>
        <v>1</v>
      </c>
      <c r="L60" s="24">
        <f>K60+(SUM(L61:L64))</f>
        <v>2</v>
      </c>
      <c r="M60" s="24">
        <f>L60+(SUM(M61:M64))</f>
        <v>3</v>
      </c>
      <c r="N60" s="24">
        <f>M60+(SUM(N61:N64))</f>
        <v>4</v>
      </c>
      <c r="O60" s="24">
        <f>N60+SUM(O61:O64)</f>
        <v>5</v>
      </c>
      <c r="P60" s="24">
        <f>O60+SUM(P61:P64)</f>
        <v>6</v>
      </c>
      <c r="Q60" s="24">
        <f>P60+SUM(Q61:Q64)</f>
        <v>7</v>
      </c>
      <c r="R60" s="24">
        <f>Q60+SUM(R61:R64)</f>
        <v>8</v>
      </c>
      <c r="S60" s="24">
        <v>8</v>
      </c>
      <c r="T60" s="24"/>
      <c r="U60" s="24"/>
      <c r="V60" s="24"/>
      <c r="W60" s="24"/>
      <c r="X60" s="24"/>
      <c r="Y60" s="24"/>
      <c r="Z60" s="24"/>
      <c r="AA60" s="87"/>
      <c r="AB60" s="89"/>
      <c r="AC60" s="89"/>
      <c r="AD60" s="89"/>
    </row>
    <row r="61" spans="1:30" s="25" customFormat="1" ht="21" customHeight="1" x14ac:dyDescent="0.2">
      <c r="A61" s="83"/>
      <c r="B61" s="156" t="s">
        <v>79</v>
      </c>
      <c r="C61" s="157"/>
      <c r="D61" s="157"/>
      <c r="E61" s="158"/>
      <c r="F61" s="21"/>
      <c r="G61" s="24"/>
      <c r="H61" s="24"/>
      <c r="I61" s="24"/>
      <c r="J61" s="24"/>
      <c r="K61" s="69">
        <v>1</v>
      </c>
      <c r="L61" s="69">
        <v>1</v>
      </c>
      <c r="M61" s="69">
        <v>1</v>
      </c>
      <c r="N61" s="69">
        <v>1</v>
      </c>
      <c r="O61" s="69">
        <v>1</v>
      </c>
      <c r="P61" s="24"/>
      <c r="Q61" s="24"/>
      <c r="R61" s="24"/>
      <c r="S61" s="22">
        <f t="shared" si="127"/>
        <v>5</v>
      </c>
      <c r="T61" s="24"/>
      <c r="U61" s="24"/>
      <c r="V61" s="24"/>
      <c r="W61" s="24"/>
      <c r="X61" s="24"/>
      <c r="Y61" s="24"/>
      <c r="Z61" s="24"/>
      <c r="AA61" s="87"/>
      <c r="AB61" s="89"/>
      <c r="AC61" s="89"/>
      <c r="AD61" s="89"/>
    </row>
    <row r="62" spans="1:30" s="25" customFormat="1" x14ac:dyDescent="0.2">
      <c r="A62" s="83"/>
      <c r="B62" s="153" t="s">
        <v>74</v>
      </c>
      <c r="C62" s="154"/>
      <c r="D62" s="154"/>
      <c r="E62" s="155"/>
      <c r="F62" s="21"/>
      <c r="G62" s="24"/>
      <c r="H62" s="24"/>
      <c r="I62" s="24"/>
      <c r="J62" s="24"/>
      <c r="K62" s="24"/>
      <c r="L62" s="24"/>
      <c r="M62" s="24"/>
      <c r="N62" s="24"/>
      <c r="O62" s="24"/>
      <c r="P62" s="69">
        <v>1</v>
      </c>
      <c r="Q62" s="24"/>
      <c r="R62" s="24"/>
      <c r="S62" s="22">
        <f t="shared" si="127"/>
        <v>1</v>
      </c>
      <c r="T62" s="24"/>
      <c r="U62" s="24"/>
      <c r="V62" s="24"/>
      <c r="W62" s="24"/>
      <c r="X62" s="24"/>
      <c r="Y62" s="24"/>
      <c r="Z62" s="24"/>
      <c r="AA62" s="87"/>
      <c r="AB62" s="89"/>
      <c r="AC62" s="89"/>
      <c r="AD62" s="89"/>
    </row>
    <row r="63" spans="1:30" s="25" customFormat="1" x14ac:dyDescent="0.2">
      <c r="A63" s="83"/>
      <c r="B63" s="153" t="s">
        <v>75</v>
      </c>
      <c r="C63" s="154"/>
      <c r="D63" s="154"/>
      <c r="E63" s="155"/>
      <c r="F63" s="21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69">
        <v>1</v>
      </c>
      <c r="R63" s="24"/>
      <c r="S63" s="22">
        <f t="shared" si="127"/>
        <v>1</v>
      </c>
      <c r="T63" s="24"/>
      <c r="U63" s="24"/>
      <c r="V63" s="24"/>
      <c r="W63" s="24"/>
      <c r="X63" s="24"/>
      <c r="Y63" s="24"/>
      <c r="Z63" s="24"/>
      <c r="AA63" s="87"/>
      <c r="AB63" s="89"/>
      <c r="AC63" s="89"/>
      <c r="AD63" s="89"/>
    </row>
    <row r="64" spans="1:30" s="25" customFormat="1" x14ac:dyDescent="0.2">
      <c r="A64" s="83"/>
      <c r="B64" s="153" t="s">
        <v>80</v>
      </c>
      <c r="C64" s="154"/>
      <c r="D64" s="154"/>
      <c r="E64" s="155"/>
      <c r="F64" s="21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69">
        <v>1</v>
      </c>
      <c r="S64" s="22">
        <f t="shared" si="127"/>
        <v>1</v>
      </c>
      <c r="T64" s="24"/>
      <c r="U64" s="24"/>
      <c r="V64" s="24"/>
      <c r="W64" s="24"/>
      <c r="X64" s="24"/>
      <c r="Y64" s="24"/>
      <c r="Z64" s="24"/>
      <c r="AA64" s="87"/>
      <c r="AB64" s="89"/>
      <c r="AC64" s="89"/>
      <c r="AD64" s="89"/>
    </row>
    <row r="65" spans="1:30" s="25" customFormat="1" x14ac:dyDescent="0.4">
      <c r="A65" s="83"/>
      <c r="B65" s="85" t="s">
        <v>81</v>
      </c>
      <c r="C65" s="85"/>
      <c r="D65" s="85"/>
      <c r="E65" s="85"/>
      <c r="F65" s="21"/>
      <c r="G65" s="24"/>
      <c r="H65" s="24"/>
      <c r="I65" s="24"/>
      <c r="J65" s="24"/>
      <c r="K65" s="24"/>
      <c r="L65" s="68">
        <f t="shared" ref="L65:R65" si="129">(L66*100)/$S$66</f>
        <v>12.5</v>
      </c>
      <c r="M65" s="68">
        <f t="shared" si="129"/>
        <v>25</v>
      </c>
      <c r="N65" s="68">
        <f t="shared" si="129"/>
        <v>50</v>
      </c>
      <c r="O65" s="68">
        <f t="shared" si="129"/>
        <v>62.5</v>
      </c>
      <c r="P65" s="68">
        <f t="shared" si="129"/>
        <v>75</v>
      </c>
      <c r="Q65" s="68">
        <f t="shared" si="129"/>
        <v>87.5</v>
      </c>
      <c r="R65" s="68">
        <f t="shared" si="129"/>
        <v>100</v>
      </c>
      <c r="S65" s="24"/>
      <c r="T65" s="24"/>
      <c r="U65" s="24"/>
      <c r="V65" s="24"/>
      <c r="W65" s="24"/>
      <c r="X65" s="24"/>
      <c r="Y65" s="24"/>
      <c r="Z65" s="24"/>
      <c r="AA65" s="87"/>
      <c r="AB65" s="89"/>
      <c r="AC65" s="89"/>
      <c r="AD65" s="89"/>
    </row>
    <row r="66" spans="1:30" s="25" customFormat="1" ht="25" hidden="1" customHeight="1" x14ac:dyDescent="0.2">
      <c r="A66" s="83"/>
      <c r="B66" s="20"/>
      <c r="C66" s="20"/>
      <c r="D66" s="20"/>
      <c r="E66" s="20"/>
      <c r="F66" s="21"/>
      <c r="G66" s="24"/>
      <c r="H66" s="24"/>
      <c r="I66" s="24"/>
      <c r="J66" s="24"/>
      <c r="K66" s="24"/>
      <c r="L66" s="24">
        <f>(SUM(L67:L71))</f>
        <v>1</v>
      </c>
      <c r="M66" s="24">
        <f>L66+(SUM(M67:M71))</f>
        <v>2</v>
      </c>
      <c r="N66" s="24">
        <f>M66+(SUM(N67:N71))</f>
        <v>4</v>
      </c>
      <c r="O66" s="24">
        <f>N66+SUM(O67:O71)</f>
        <v>5</v>
      </c>
      <c r="P66" s="24">
        <f>O66+SUM(P67:P71)</f>
        <v>6</v>
      </c>
      <c r="Q66" s="24">
        <f>P66+SUM(Q67:Q71)</f>
        <v>7</v>
      </c>
      <c r="R66" s="24">
        <f>Q66+SUM(R67:R71)</f>
        <v>8</v>
      </c>
      <c r="S66" s="24">
        <v>8</v>
      </c>
      <c r="T66" s="24"/>
      <c r="U66" s="24"/>
      <c r="V66" s="24"/>
      <c r="W66" s="24"/>
      <c r="X66" s="24"/>
      <c r="Y66" s="24"/>
      <c r="Z66" s="24"/>
      <c r="AA66" s="56"/>
      <c r="AB66" s="56"/>
      <c r="AC66" s="56"/>
      <c r="AD66" s="56"/>
    </row>
    <row r="67" spans="1:30" ht="25" customHeight="1" x14ac:dyDescent="0.2">
      <c r="A67" s="83"/>
      <c r="B67" s="160" t="s">
        <v>82</v>
      </c>
      <c r="C67" s="161"/>
      <c r="D67" s="161"/>
      <c r="E67" s="162"/>
      <c r="F67" s="21"/>
      <c r="G67" s="22"/>
      <c r="H67" s="22"/>
      <c r="I67" s="22"/>
      <c r="J67" s="22"/>
      <c r="K67" s="22"/>
      <c r="L67" s="66">
        <v>1</v>
      </c>
      <c r="M67" s="66">
        <v>1</v>
      </c>
      <c r="N67" s="66">
        <v>1</v>
      </c>
      <c r="O67" s="22"/>
      <c r="P67" s="22"/>
      <c r="Q67" s="22"/>
      <c r="R67" s="22"/>
      <c r="S67" s="22">
        <f t="shared" si="127"/>
        <v>3</v>
      </c>
      <c r="T67" s="22"/>
      <c r="U67" s="22"/>
      <c r="V67" s="22"/>
      <c r="W67" s="22"/>
      <c r="X67" s="22"/>
      <c r="Y67" s="22"/>
      <c r="Z67" s="22"/>
      <c r="AA67" s="87"/>
      <c r="AB67" s="88"/>
      <c r="AC67" s="88"/>
      <c r="AD67" s="88"/>
    </row>
    <row r="68" spans="1:30" s="25" customFormat="1" ht="25" customHeight="1" x14ac:dyDescent="0.2">
      <c r="A68" s="83"/>
      <c r="B68" s="150" t="s">
        <v>84</v>
      </c>
      <c r="C68" s="151"/>
      <c r="D68" s="151"/>
      <c r="E68" s="152"/>
      <c r="F68" s="21"/>
      <c r="G68" s="24"/>
      <c r="H68" s="24"/>
      <c r="I68" s="24"/>
      <c r="J68" s="24"/>
      <c r="K68" s="24"/>
      <c r="L68" s="24"/>
      <c r="M68" s="24"/>
      <c r="N68" s="69">
        <v>1</v>
      </c>
      <c r="O68" s="69">
        <v>1</v>
      </c>
      <c r="P68" s="24"/>
      <c r="Q68" s="24"/>
      <c r="R68" s="24"/>
      <c r="S68" s="22">
        <f t="shared" si="127"/>
        <v>2</v>
      </c>
      <c r="T68" s="24"/>
      <c r="U68" s="24"/>
      <c r="V68" s="24"/>
      <c r="W68" s="24"/>
      <c r="X68" s="24"/>
      <c r="Y68" s="24"/>
      <c r="Z68" s="24"/>
      <c r="AA68" s="87"/>
      <c r="AB68" s="89"/>
      <c r="AC68" s="89"/>
      <c r="AD68" s="89"/>
    </row>
    <row r="69" spans="1:30" s="25" customFormat="1" ht="25" customHeight="1" x14ac:dyDescent="0.2">
      <c r="A69" s="83"/>
      <c r="B69" s="153" t="s">
        <v>74</v>
      </c>
      <c r="C69" s="154"/>
      <c r="D69" s="154"/>
      <c r="E69" s="155"/>
      <c r="F69" s="21"/>
      <c r="G69" s="24"/>
      <c r="H69" s="24"/>
      <c r="I69" s="24"/>
      <c r="J69" s="24"/>
      <c r="K69" s="24"/>
      <c r="L69" s="24"/>
      <c r="M69" s="24"/>
      <c r="N69" s="24"/>
      <c r="O69" s="24"/>
      <c r="P69" s="69">
        <v>1</v>
      </c>
      <c r="Q69" s="24"/>
      <c r="R69" s="24"/>
      <c r="S69" s="22">
        <f t="shared" si="127"/>
        <v>1</v>
      </c>
      <c r="T69" s="24"/>
      <c r="U69" s="24"/>
      <c r="V69" s="24"/>
      <c r="W69" s="24"/>
      <c r="X69" s="24"/>
      <c r="Y69" s="24"/>
      <c r="Z69" s="24"/>
      <c r="AA69" s="87"/>
      <c r="AB69" s="89"/>
      <c r="AC69" s="89"/>
      <c r="AD69" s="89"/>
    </row>
    <row r="70" spans="1:30" s="25" customFormat="1" ht="25" customHeight="1" x14ac:dyDescent="0.2">
      <c r="A70" s="83"/>
      <c r="B70" s="153" t="s">
        <v>75</v>
      </c>
      <c r="C70" s="154"/>
      <c r="D70" s="154"/>
      <c r="E70" s="155"/>
      <c r="F70" s="21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69">
        <v>1</v>
      </c>
      <c r="R70" s="24"/>
      <c r="S70" s="22">
        <f t="shared" si="127"/>
        <v>1</v>
      </c>
      <c r="T70" s="24"/>
      <c r="U70" s="24"/>
      <c r="V70" s="24"/>
      <c r="W70" s="24"/>
      <c r="X70" s="24"/>
      <c r="Y70" s="24"/>
      <c r="Z70" s="24"/>
      <c r="AA70" s="87"/>
      <c r="AB70" s="89"/>
      <c r="AC70" s="89"/>
      <c r="AD70" s="89"/>
    </row>
    <row r="71" spans="1:30" s="25" customFormat="1" ht="25" customHeight="1" x14ac:dyDescent="0.2">
      <c r="A71" s="84"/>
      <c r="B71" s="153" t="s">
        <v>80</v>
      </c>
      <c r="C71" s="154"/>
      <c r="D71" s="154"/>
      <c r="E71" s="155"/>
      <c r="F71" s="21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69">
        <v>1</v>
      </c>
      <c r="S71" s="22">
        <f t="shared" si="127"/>
        <v>1</v>
      </c>
      <c r="T71" s="24"/>
      <c r="U71" s="24"/>
      <c r="V71" s="24"/>
      <c r="W71" s="24"/>
      <c r="X71" s="24"/>
      <c r="Y71" s="24"/>
      <c r="Z71" s="24"/>
      <c r="AA71" s="87"/>
      <c r="AB71" s="89"/>
      <c r="AC71" s="89"/>
      <c r="AD71" s="89"/>
    </row>
    <row r="72" spans="1:30" s="31" customFormat="1" ht="183" customHeight="1" x14ac:dyDescent="0.2">
      <c r="A72" s="12">
        <v>2.2000000000000002</v>
      </c>
      <c r="B72" s="26" t="s">
        <v>85</v>
      </c>
      <c r="C72" s="26" t="s">
        <v>86</v>
      </c>
      <c r="D72" s="26" t="s">
        <v>87</v>
      </c>
      <c r="E72" s="64" t="s">
        <v>88</v>
      </c>
      <c r="F72" s="27"/>
      <c r="G72" s="28">
        <f t="shared" ref="G72:R72" si="130">(G73+G78+G86+G92+G98+G104)*100/$S$72</f>
        <v>8.3343807608513494</v>
      </c>
      <c r="H72" s="28">
        <f t="shared" si="130"/>
        <v>20.603946706887886</v>
      </c>
      <c r="I72" s="28">
        <f t="shared" si="130"/>
        <v>29.918719624601977</v>
      </c>
      <c r="J72" s="28">
        <f t="shared" si="130"/>
        <v>41.957851516675049</v>
      </c>
      <c r="K72" s="28">
        <f t="shared" si="130"/>
        <v>52.090665325959449</v>
      </c>
      <c r="L72" s="28">
        <f t="shared" si="130"/>
        <v>58.056812468577178</v>
      </c>
      <c r="M72" s="28">
        <f t="shared" si="130"/>
        <v>63.626134214369507</v>
      </c>
      <c r="N72" s="28">
        <f t="shared" si="130"/>
        <v>69.195455960161837</v>
      </c>
      <c r="O72" s="28">
        <f t="shared" si="130"/>
        <v>77.786755727932203</v>
      </c>
      <c r="P72" s="28">
        <f t="shared" si="130"/>
        <v>85.618520912638573</v>
      </c>
      <c r="Q72" s="28">
        <f t="shared" si="130"/>
        <v>92.809260456319279</v>
      </c>
      <c r="R72" s="28">
        <f t="shared" si="130"/>
        <v>100</v>
      </c>
      <c r="S72" s="26">
        <v>600</v>
      </c>
      <c r="T72" s="26" t="s">
        <v>89</v>
      </c>
      <c r="U72" s="29">
        <v>2.95</v>
      </c>
      <c r="V72" s="30"/>
      <c r="W72" s="30"/>
      <c r="X72" s="30"/>
      <c r="Y72" s="30"/>
      <c r="Z72" s="30"/>
      <c r="AA72" s="57"/>
      <c r="AB72" s="57"/>
      <c r="AC72" s="57"/>
      <c r="AD72" s="57"/>
    </row>
    <row r="73" spans="1:30" s="25" customFormat="1" x14ac:dyDescent="0.4">
      <c r="A73" s="82"/>
      <c r="B73" s="137" t="s">
        <v>90</v>
      </c>
      <c r="C73" s="137"/>
      <c r="D73" s="137"/>
      <c r="E73" s="137"/>
      <c r="F73" s="33"/>
      <c r="G73" s="68">
        <f t="shared" ref="G73:L73" si="131">(G74*100)/$S$74</f>
        <v>16.666666666666668</v>
      </c>
      <c r="H73" s="68">
        <f t="shared" si="131"/>
        <v>33.333333333333336</v>
      </c>
      <c r="I73" s="68">
        <f t="shared" si="131"/>
        <v>50</v>
      </c>
      <c r="J73" s="68">
        <f t="shared" si="131"/>
        <v>66.666666666666671</v>
      </c>
      <c r="K73" s="68">
        <f t="shared" si="131"/>
        <v>83.333333333333329</v>
      </c>
      <c r="L73" s="68">
        <f t="shared" si="131"/>
        <v>100</v>
      </c>
      <c r="M73" s="35">
        <v>100</v>
      </c>
      <c r="N73" s="35">
        <v>100</v>
      </c>
      <c r="O73" s="35">
        <v>100</v>
      </c>
      <c r="P73" s="35">
        <v>100</v>
      </c>
      <c r="Q73" s="35">
        <v>100</v>
      </c>
      <c r="R73" s="35">
        <v>100</v>
      </c>
      <c r="S73" s="22"/>
      <c r="T73" s="24"/>
      <c r="U73" s="24"/>
      <c r="V73" s="24"/>
      <c r="W73" s="24"/>
      <c r="X73" s="24"/>
      <c r="Y73" s="24"/>
      <c r="Z73" s="24"/>
      <c r="AA73" s="88"/>
      <c r="AB73" s="88"/>
      <c r="AC73" s="86"/>
      <c r="AD73" s="138"/>
    </row>
    <row r="74" spans="1:30" s="25" customFormat="1" ht="32.25" hidden="1" customHeight="1" x14ac:dyDescent="0.2">
      <c r="A74" s="83"/>
      <c r="B74" s="32"/>
      <c r="C74" s="32"/>
      <c r="D74" s="32"/>
      <c r="E74" s="32"/>
      <c r="F74" s="33"/>
      <c r="G74" s="24">
        <f>SUM(G75:G77)</f>
        <v>2</v>
      </c>
      <c r="H74" s="24">
        <f>G74+SUM(H75:H77)</f>
        <v>4</v>
      </c>
      <c r="I74" s="24">
        <f>H74+SUM(I75:I77)</f>
        <v>6</v>
      </c>
      <c r="J74" s="24">
        <f>I74+SUM(J75:J77)</f>
        <v>8</v>
      </c>
      <c r="K74" s="24">
        <f>J74+SUM(K75:K77)</f>
        <v>10</v>
      </c>
      <c r="L74" s="24">
        <f>K74+SUM(L75:L77)</f>
        <v>12</v>
      </c>
      <c r="M74" s="24"/>
      <c r="N74" s="24"/>
      <c r="O74" s="24"/>
      <c r="P74" s="24"/>
      <c r="Q74" s="24"/>
      <c r="R74" s="24"/>
      <c r="S74" s="22">
        <v>12</v>
      </c>
      <c r="T74" s="24"/>
      <c r="U74" s="24"/>
      <c r="V74" s="24"/>
      <c r="W74" s="24"/>
      <c r="X74" s="24"/>
      <c r="Y74" s="24"/>
      <c r="Z74" s="24"/>
      <c r="AA74" s="89"/>
      <c r="AB74" s="89"/>
      <c r="AC74" s="86"/>
      <c r="AD74" s="139"/>
    </row>
    <row r="75" spans="1:30" s="25" customFormat="1" x14ac:dyDescent="0.2">
      <c r="A75" s="83"/>
      <c r="B75" s="147" t="s">
        <v>91</v>
      </c>
      <c r="C75" s="148"/>
      <c r="D75" s="148"/>
      <c r="E75" s="149"/>
      <c r="F75" s="33"/>
      <c r="G75" s="69">
        <v>1</v>
      </c>
      <c r="H75" s="69">
        <v>1</v>
      </c>
      <c r="I75" s="69">
        <v>1</v>
      </c>
      <c r="J75" s="69">
        <v>1</v>
      </c>
      <c r="K75" s="69">
        <v>1</v>
      </c>
      <c r="L75" s="69">
        <v>1</v>
      </c>
      <c r="M75" s="24"/>
      <c r="N75" s="24"/>
      <c r="O75" s="24"/>
      <c r="P75" s="24"/>
      <c r="Q75" s="24"/>
      <c r="R75" s="24"/>
      <c r="S75" s="22">
        <f t="shared" si="127"/>
        <v>6</v>
      </c>
      <c r="T75" s="24"/>
      <c r="U75" s="24"/>
      <c r="V75" s="24"/>
      <c r="W75" s="24"/>
      <c r="X75" s="24"/>
      <c r="Y75" s="24"/>
      <c r="Z75" s="24"/>
      <c r="AA75" s="89"/>
      <c r="AB75" s="89"/>
      <c r="AC75" s="86"/>
      <c r="AD75" s="139"/>
    </row>
    <row r="76" spans="1:30" s="25" customFormat="1" x14ac:dyDescent="0.2">
      <c r="A76" s="83"/>
      <c r="B76" s="147" t="s">
        <v>92</v>
      </c>
      <c r="C76" s="148"/>
      <c r="D76" s="148"/>
      <c r="E76" s="149"/>
      <c r="F76" s="33"/>
      <c r="G76" s="69">
        <v>1</v>
      </c>
      <c r="H76" s="69">
        <v>1</v>
      </c>
      <c r="I76" s="69">
        <v>1</v>
      </c>
      <c r="J76" s="24"/>
      <c r="K76" s="24"/>
      <c r="L76" s="24"/>
      <c r="M76" s="24"/>
      <c r="N76" s="24"/>
      <c r="O76" s="24"/>
      <c r="P76" s="24"/>
      <c r="Q76" s="24"/>
      <c r="R76" s="24"/>
      <c r="S76" s="22">
        <f t="shared" si="127"/>
        <v>3</v>
      </c>
      <c r="T76" s="24"/>
      <c r="U76" s="24"/>
      <c r="V76" s="24"/>
      <c r="W76" s="24"/>
      <c r="X76" s="24"/>
      <c r="Y76" s="24"/>
      <c r="Z76" s="24"/>
      <c r="AA76" s="89"/>
      <c r="AB76" s="89"/>
      <c r="AC76" s="86"/>
      <c r="AD76" s="139"/>
    </row>
    <row r="77" spans="1:30" s="25" customFormat="1" x14ac:dyDescent="0.2">
      <c r="A77" s="83"/>
      <c r="B77" s="147" t="s">
        <v>93</v>
      </c>
      <c r="C77" s="148"/>
      <c r="D77" s="148"/>
      <c r="E77" s="149"/>
      <c r="F77" s="33"/>
      <c r="G77" s="24"/>
      <c r="H77" s="24"/>
      <c r="I77" s="24"/>
      <c r="J77" s="69">
        <v>1</v>
      </c>
      <c r="K77" s="69">
        <v>1</v>
      </c>
      <c r="L77" s="69">
        <v>1</v>
      </c>
      <c r="M77" s="24"/>
      <c r="N77" s="24"/>
      <c r="O77" s="24"/>
      <c r="P77" s="24"/>
      <c r="Q77" s="24"/>
      <c r="R77" s="24"/>
      <c r="S77" s="22">
        <f t="shared" si="127"/>
        <v>3</v>
      </c>
      <c r="T77" s="24"/>
      <c r="U77" s="24"/>
      <c r="V77" s="24"/>
      <c r="W77" s="24"/>
      <c r="X77" s="24"/>
      <c r="Y77" s="24"/>
      <c r="Z77" s="24"/>
      <c r="AA77" s="133"/>
      <c r="AB77" s="133"/>
      <c r="AC77" s="86"/>
      <c r="AD77" s="139"/>
    </row>
    <row r="78" spans="1:30" s="25" customFormat="1" x14ac:dyDescent="0.4">
      <c r="A78" s="83"/>
      <c r="B78" s="85" t="s">
        <v>94</v>
      </c>
      <c r="C78" s="85"/>
      <c r="D78" s="85"/>
      <c r="E78" s="85"/>
      <c r="F78" s="24"/>
      <c r="G78" s="68">
        <f t="shared" ref="G78:R78" si="132">(G79*100)/$S$79</f>
        <v>3.8461538461538463</v>
      </c>
      <c r="H78" s="68">
        <f t="shared" si="132"/>
        <v>7.6923076923076925</v>
      </c>
      <c r="I78" s="68">
        <f t="shared" si="132"/>
        <v>11.538461538461538</v>
      </c>
      <c r="J78" s="68">
        <f t="shared" si="132"/>
        <v>19.23076923076923</v>
      </c>
      <c r="K78" s="68">
        <f t="shared" si="132"/>
        <v>26.923076923076923</v>
      </c>
      <c r="L78" s="68">
        <f t="shared" si="132"/>
        <v>34.615384615384613</v>
      </c>
      <c r="M78" s="68">
        <f t="shared" si="132"/>
        <v>42.307692307692307</v>
      </c>
      <c r="N78" s="68">
        <f t="shared" si="132"/>
        <v>50</v>
      </c>
      <c r="O78" s="68">
        <f t="shared" si="132"/>
        <v>61.53846153846154</v>
      </c>
      <c r="P78" s="68">
        <f t="shared" si="132"/>
        <v>76.92307692307692</v>
      </c>
      <c r="Q78" s="68">
        <f t="shared" si="132"/>
        <v>88.461538461538467</v>
      </c>
      <c r="R78" s="68">
        <f t="shared" si="132"/>
        <v>100</v>
      </c>
      <c r="S78" s="22"/>
      <c r="T78" s="24"/>
      <c r="U78" s="24"/>
      <c r="V78" s="24"/>
      <c r="W78" s="24"/>
      <c r="X78" s="24"/>
      <c r="Y78" s="24"/>
      <c r="Z78" s="24"/>
      <c r="AA78" s="88"/>
      <c r="AB78" s="88"/>
      <c r="AC78" s="88"/>
      <c r="AD78" s="88"/>
    </row>
    <row r="79" spans="1:30" s="25" customFormat="1" ht="23.25" hidden="1" customHeight="1" x14ac:dyDescent="0.2">
      <c r="A79" s="83"/>
      <c r="B79" s="20"/>
      <c r="C79" s="20"/>
      <c r="D79" s="20"/>
      <c r="E79" s="20"/>
      <c r="F79" s="24"/>
      <c r="G79" s="24">
        <f>SUM(G80:G85)</f>
        <v>1</v>
      </c>
      <c r="H79" s="24">
        <f t="shared" ref="H79:R79" si="133">G79+SUM(H80:H85)</f>
        <v>2</v>
      </c>
      <c r="I79" s="24">
        <f t="shared" si="133"/>
        <v>3</v>
      </c>
      <c r="J79" s="24">
        <f t="shared" si="133"/>
        <v>5</v>
      </c>
      <c r="K79" s="24">
        <f t="shared" si="133"/>
        <v>7</v>
      </c>
      <c r="L79" s="24">
        <f t="shared" si="133"/>
        <v>9</v>
      </c>
      <c r="M79" s="24">
        <f t="shared" si="133"/>
        <v>11</v>
      </c>
      <c r="N79" s="24">
        <f t="shared" si="133"/>
        <v>13</v>
      </c>
      <c r="O79" s="24">
        <f t="shared" si="133"/>
        <v>16</v>
      </c>
      <c r="P79" s="24">
        <f t="shared" si="133"/>
        <v>20</v>
      </c>
      <c r="Q79" s="24">
        <f t="shared" si="133"/>
        <v>23</v>
      </c>
      <c r="R79" s="24">
        <f t="shared" si="133"/>
        <v>26</v>
      </c>
      <c r="S79" s="22">
        <v>26</v>
      </c>
      <c r="T79" s="24"/>
      <c r="U79" s="24"/>
      <c r="V79" s="24"/>
      <c r="W79" s="24"/>
      <c r="X79" s="24"/>
      <c r="Y79" s="24"/>
      <c r="Z79" s="24"/>
      <c r="AA79" s="89"/>
      <c r="AB79" s="89"/>
      <c r="AC79" s="89"/>
      <c r="AD79" s="89"/>
    </row>
    <row r="80" spans="1:30" s="25" customFormat="1" ht="27" customHeight="1" x14ac:dyDescent="0.2">
      <c r="A80" s="83"/>
      <c r="B80" s="116" t="s">
        <v>96</v>
      </c>
      <c r="C80" s="117"/>
      <c r="D80" s="117"/>
      <c r="E80" s="118"/>
      <c r="F80" s="24"/>
      <c r="G80" s="69">
        <v>1</v>
      </c>
      <c r="H80" s="69">
        <v>1</v>
      </c>
      <c r="I80" s="69">
        <v>1</v>
      </c>
      <c r="J80" s="69">
        <v>1</v>
      </c>
      <c r="K80" s="69">
        <v>1</v>
      </c>
      <c r="L80" s="69">
        <v>1</v>
      </c>
      <c r="M80" s="69">
        <v>1</v>
      </c>
      <c r="N80" s="69">
        <v>1</v>
      </c>
      <c r="O80" s="69">
        <v>1</v>
      </c>
      <c r="P80" s="69">
        <v>1</v>
      </c>
      <c r="Q80" s="69">
        <v>1</v>
      </c>
      <c r="R80" s="69">
        <v>1</v>
      </c>
      <c r="S80" s="22">
        <f t="shared" si="127"/>
        <v>12</v>
      </c>
      <c r="T80" s="24"/>
      <c r="U80" s="24"/>
      <c r="V80" s="24"/>
      <c r="W80" s="24"/>
      <c r="X80" s="24"/>
      <c r="Y80" s="24"/>
      <c r="Z80" s="24"/>
      <c r="AA80" s="89"/>
      <c r="AB80" s="89"/>
      <c r="AC80" s="89"/>
      <c r="AD80" s="89"/>
    </row>
    <row r="81" spans="1:30" s="25" customFormat="1" ht="29.25" customHeight="1" x14ac:dyDescent="0.2">
      <c r="A81" s="83"/>
      <c r="B81" s="113" t="s">
        <v>97</v>
      </c>
      <c r="C81" s="114"/>
      <c r="D81" s="114"/>
      <c r="E81" s="115"/>
      <c r="F81" s="24"/>
      <c r="G81" s="24"/>
      <c r="H81" s="24"/>
      <c r="I81" s="24"/>
      <c r="J81" s="24"/>
      <c r="K81" s="24"/>
      <c r="L81" s="24"/>
      <c r="M81" s="24"/>
      <c r="N81" s="24"/>
      <c r="O81" s="69">
        <v>1</v>
      </c>
      <c r="P81" s="69">
        <v>1</v>
      </c>
      <c r="Q81" s="24"/>
      <c r="R81" s="24"/>
      <c r="S81" s="22">
        <f t="shared" si="127"/>
        <v>2</v>
      </c>
      <c r="T81" s="24"/>
      <c r="U81" s="24"/>
      <c r="V81" s="24"/>
      <c r="W81" s="24"/>
      <c r="X81" s="24"/>
      <c r="Y81" s="24"/>
      <c r="Z81" s="24"/>
      <c r="AA81" s="89"/>
      <c r="AB81" s="89"/>
      <c r="AC81" s="89"/>
      <c r="AD81" s="89"/>
    </row>
    <row r="82" spans="1:30" s="25" customFormat="1" x14ac:dyDescent="0.2">
      <c r="A82" s="83"/>
      <c r="B82" s="116" t="s">
        <v>98</v>
      </c>
      <c r="C82" s="117"/>
      <c r="D82" s="117"/>
      <c r="E82" s="118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69">
        <v>1</v>
      </c>
      <c r="Q82" s="24"/>
      <c r="R82" s="24"/>
      <c r="S82" s="22">
        <f t="shared" si="127"/>
        <v>1</v>
      </c>
      <c r="T82" s="24"/>
      <c r="U82" s="24"/>
      <c r="V82" s="24"/>
      <c r="W82" s="24"/>
      <c r="X82" s="24"/>
      <c r="Y82" s="24"/>
      <c r="Z82" s="24"/>
      <c r="AA82" s="89"/>
      <c r="AB82" s="89"/>
      <c r="AC82" s="89"/>
      <c r="AD82" s="89"/>
    </row>
    <row r="83" spans="1:30" s="25" customFormat="1" x14ac:dyDescent="0.2">
      <c r="A83" s="83"/>
      <c r="B83" s="113" t="s">
        <v>99</v>
      </c>
      <c r="C83" s="114"/>
      <c r="D83" s="114"/>
      <c r="E83" s="115"/>
      <c r="F83" s="24"/>
      <c r="G83" s="24"/>
      <c r="H83" s="24"/>
      <c r="I83" s="24"/>
      <c r="J83" s="69">
        <v>1</v>
      </c>
      <c r="K83" s="69">
        <v>1</v>
      </c>
      <c r="L83" s="69">
        <v>1</v>
      </c>
      <c r="M83" s="69">
        <v>1</v>
      </c>
      <c r="N83" s="69">
        <v>1</v>
      </c>
      <c r="O83" s="69">
        <v>1</v>
      </c>
      <c r="P83" s="69">
        <v>1</v>
      </c>
      <c r="Q83" s="24"/>
      <c r="R83" s="24"/>
      <c r="S83" s="22">
        <f t="shared" si="127"/>
        <v>7</v>
      </c>
      <c r="T83" s="24"/>
      <c r="U83" s="24"/>
      <c r="V83" s="24"/>
      <c r="W83" s="24"/>
      <c r="X83" s="24"/>
      <c r="Y83" s="24"/>
      <c r="Z83" s="24"/>
      <c r="AA83" s="89"/>
      <c r="AB83" s="89"/>
      <c r="AC83" s="89"/>
      <c r="AD83" s="89"/>
    </row>
    <row r="84" spans="1:30" s="25" customFormat="1" x14ac:dyDescent="0.2">
      <c r="A84" s="83"/>
      <c r="B84" s="113" t="s">
        <v>100</v>
      </c>
      <c r="C84" s="114"/>
      <c r="D84" s="114"/>
      <c r="E84" s="115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69">
        <v>1</v>
      </c>
      <c r="R84" s="69">
        <v>1</v>
      </c>
      <c r="S84" s="22">
        <f t="shared" si="127"/>
        <v>2</v>
      </c>
      <c r="T84" s="24"/>
      <c r="U84" s="24"/>
      <c r="V84" s="24"/>
      <c r="W84" s="24"/>
      <c r="X84" s="24"/>
      <c r="Y84" s="24"/>
      <c r="Z84" s="24"/>
      <c r="AA84" s="89"/>
      <c r="AB84" s="89"/>
      <c r="AC84" s="89"/>
      <c r="AD84" s="89"/>
    </row>
    <row r="85" spans="1:30" s="25" customFormat="1" ht="29" customHeight="1" x14ac:dyDescent="0.2">
      <c r="A85" s="83"/>
      <c r="B85" s="113" t="s">
        <v>101</v>
      </c>
      <c r="C85" s="114"/>
      <c r="D85" s="114"/>
      <c r="E85" s="115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69">
        <v>1</v>
      </c>
      <c r="R85" s="69">
        <v>1</v>
      </c>
      <c r="S85" s="22">
        <f t="shared" si="127"/>
        <v>2</v>
      </c>
      <c r="T85" s="24"/>
      <c r="U85" s="24"/>
      <c r="V85" s="24"/>
      <c r="W85" s="24"/>
      <c r="X85" s="24"/>
      <c r="Y85" s="24"/>
      <c r="Z85" s="24"/>
      <c r="AA85" s="89"/>
      <c r="AB85" s="89"/>
      <c r="AC85" s="89"/>
      <c r="AD85" s="89"/>
    </row>
    <row r="86" spans="1:30" s="25" customFormat="1" ht="25" customHeight="1" x14ac:dyDescent="0.2">
      <c r="A86" s="83"/>
      <c r="B86" s="104" t="s">
        <v>102</v>
      </c>
      <c r="C86" s="105"/>
      <c r="D86" s="105"/>
      <c r="E86" s="106"/>
      <c r="F86" s="24" t="s">
        <v>103</v>
      </c>
      <c r="G86" s="67">
        <f t="shared" ref="G86:R86" si="134">(G87*100)/$S$87</f>
        <v>11.111111111111111</v>
      </c>
      <c r="H86" s="67">
        <f t="shared" si="134"/>
        <v>33.333333333333336</v>
      </c>
      <c r="I86" s="67">
        <f t="shared" si="134"/>
        <v>44.444444444444443</v>
      </c>
      <c r="J86" s="67">
        <f t="shared" si="134"/>
        <v>55.555555555555557</v>
      </c>
      <c r="K86" s="67">
        <f t="shared" si="134"/>
        <v>61.111111111111114</v>
      </c>
      <c r="L86" s="67">
        <f t="shared" si="134"/>
        <v>66.666666666666671</v>
      </c>
      <c r="M86" s="67">
        <f t="shared" si="134"/>
        <v>72.222222222222229</v>
      </c>
      <c r="N86" s="67">
        <f t="shared" si="134"/>
        <v>77.777777777777771</v>
      </c>
      <c r="O86" s="67">
        <f t="shared" si="134"/>
        <v>83.333333333333329</v>
      </c>
      <c r="P86" s="67">
        <f t="shared" si="134"/>
        <v>88.888888888888886</v>
      </c>
      <c r="Q86" s="67">
        <f t="shared" si="134"/>
        <v>94.444444444444443</v>
      </c>
      <c r="R86" s="67">
        <f t="shared" si="134"/>
        <v>100</v>
      </c>
      <c r="S86" s="24"/>
      <c r="T86" s="24"/>
      <c r="U86" s="24"/>
      <c r="V86" s="24"/>
      <c r="W86" s="24"/>
      <c r="X86" s="24"/>
      <c r="Y86" s="24"/>
      <c r="Z86" s="24"/>
      <c r="AA86" s="88"/>
      <c r="AB86" s="88"/>
      <c r="AC86" s="88"/>
      <c r="AD86" s="88"/>
    </row>
    <row r="87" spans="1:30" s="25" customFormat="1" ht="23.25" hidden="1" customHeight="1" x14ac:dyDescent="0.2">
      <c r="A87" s="83"/>
      <c r="B87" s="20"/>
      <c r="C87" s="20"/>
      <c r="D87" s="20"/>
      <c r="E87" s="20"/>
      <c r="F87" s="24"/>
      <c r="G87" s="24">
        <f>SUM(G88:G91)</f>
        <v>2</v>
      </c>
      <c r="H87" s="24">
        <f t="shared" ref="H87:R87" si="135">G87+SUM(H88:H91)</f>
        <v>6</v>
      </c>
      <c r="I87" s="24">
        <f t="shared" si="135"/>
        <v>8</v>
      </c>
      <c r="J87" s="24">
        <f t="shared" si="135"/>
        <v>10</v>
      </c>
      <c r="K87" s="24">
        <f t="shared" si="135"/>
        <v>11</v>
      </c>
      <c r="L87" s="24">
        <f t="shared" si="135"/>
        <v>12</v>
      </c>
      <c r="M87" s="24">
        <f t="shared" si="135"/>
        <v>13</v>
      </c>
      <c r="N87" s="24">
        <f t="shared" si="135"/>
        <v>14</v>
      </c>
      <c r="O87" s="24">
        <f t="shared" si="135"/>
        <v>15</v>
      </c>
      <c r="P87" s="24">
        <f t="shared" si="135"/>
        <v>16</v>
      </c>
      <c r="Q87" s="24">
        <f t="shared" si="135"/>
        <v>17</v>
      </c>
      <c r="R87" s="24">
        <f t="shared" si="135"/>
        <v>18</v>
      </c>
      <c r="S87" s="24">
        <v>18</v>
      </c>
      <c r="T87" s="24"/>
      <c r="U87" s="24"/>
      <c r="V87" s="24"/>
      <c r="W87" s="24"/>
      <c r="X87" s="24"/>
      <c r="Y87" s="24"/>
      <c r="Z87" s="24"/>
      <c r="AA87" s="89"/>
      <c r="AB87" s="89"/>
      <c r="AC87" s="89"/>
      <c r="AD87" s="89"/>
    </row>
    <row r="88" spans="1:30" s="25" customFormat="1" ht="22" customHeight="1" x14ac:dyDescent="0.2">
      <c r="A88" s="83"/>
      <c r="B88" s="113" t="s">
        <v>106</v>
      </c>
      <c r="C88" s="114"/>
      <c r="D88" s="114"/>
      <c r="E88" s="115"/>
      <c r="F88" s="24"/>
      <c r="G88" s="24"/>
      <c r="H88" s="69">
        <v>1</v>
      </c>
      <c r="I88" s="69">
        <v>1</v>
      </c>
      <c r="J88" s="69">
        <v>1</v>
      </c>
      <c r="K88" s="24"/>
      <c r="L88" s="24"/>
      <c r="M88" s="24"/>
      <c r="N88" s="24"/>
      <c r="O88" s="24"/>
      <c r="P88" s="24"/>
      <c r="Q88" s="24"/>
      <c r="R88" s="24"/>
      <c r="S88" s="22">
        <f t="shared" si="127"/>
        <v>3</v>
      </c>
      <c r="T88" s="24"/>
      <c r="U88" s="24"/>
      <c r="V88" s="24"/>
      <c r="W88" s="24"/>
      <c r="X88" s="24"/>
      <c r="Y88" s="24"/>
      <c r="Z88" s="24"/>
      <c r="AA88" s="89"/>
      <c r="AB88" s="89"/>
      <c r="AC88" s="89"/>
      <c r="AD88" s="89"/>
    </row>
    <row r="89" spans="1:30" s="25" customFormat="1" x14ac:dyDescent="0.2">
      <c r="A89" s="83"/>
      <c r="B89" s="147" t="s">
        <v>107</v>
      </c>
      <c r="C89" s="148"/>
      <c r="D89" s="148"/>
      <c r="E89" s="149"/>
      <c r="F89" s="24"/>
      <c r="G89" s="69">
        <v>1</v>
      </c>
      <c r="H89" s="69">
        <v>1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2">
        <f t="shared" si="127"/>
        <v>2</v>
      </c>
      <c r="T89" s="24"/>
      <c r="U89" s="24"/>
      <c r="V89" s="24"/>
      <c r="W89" s="24"/>
      <c r="X89" s="24"/>
      <c r="Y89" s="24"/>
      <c r="Z89" s="24"/>
      <c r="AA89" s="89"/>
      <c r="AB89" s="89"/>
      <c r="AC89" s="89"/>
      <c r="AD89" s="89"/>
    </row>
    <row r="90" spans="1:30" s="25" customFormat="1" x14ac:dyDescent="0.2">
      <c r="A90" s="83"/>
      <c r="B90" s="116" t="s">
        <v>108</v>
      </c>
      <c r="C90" s="117"/>
      <c r="D90" s="117"/>
      <c r="E90" s="118"/>
      <c r="F90" s="24"/>
      <c r="G90" s="69">
        <v>1</v>
      </c>
      <c r="H90" s="69">
        <v>1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2">
        <f t="shared" si="127"/>
        <v>2</v>
      </c>
      <c r="T90" s="24"/>
      <c r="U90" s="24"/>
      <c r="V90" s="24"/>
      <c r="W90" s="24"/>
      <c r="X90" s="24"/>
      <c r="Y90" s="24"/>
      <c r="Z90" s="24"/>
      <c r="AA90" s="89"/>
      <c r="AB90" s="89"/>
      <c r="AC90" s="89"/>
      <c r="AD90" s="89"/>
    </row>
    <row r="91" spans="1:30" s="25" customFormat="1" ht="27" customHeight="1" x14ac:dyDescent="0.2">
      <c r="A91" s="83"/>
      <c r="B91" s="140" t="s">
        <v>109</v>
      </c>
      <c r="C91" s="141"/>
      <c r="D91" s="141"/>
      <c r="E91" s="142"/>
      <c r="F91" s="24"/>
      <c r="G91" s="24"/>
      <c r="H91" s="69">
        <v>1</v>
      </c>
      <c r="I91" s="69">
        <v>1</v>
      </c>
      <c r="J91" s="69">
        <v>1</v>
      </c>
      <c r="K91" s="69">
        <v>1</v>
      </c>
      <c r="L91" s="69">
        <v>1</v>
      </c>
      <c r="M91" s="69">
        <v>1</v>
      </c>
      <c r="N91" s="69">
        <v>1</v>
      </c>
      <c r="O91" s="69">
        <v>1</v>
      </c>
      <c r="P91" s="69">
        <v>1</v>
      </c>
      <c r="Q91" s="69">
        <v>1</v>
      </c>
      <c r="R91" s="69">
        <v>1</v>
      </c>
      <c r="S91" s="22">
        <f t="shared" si="127"/>
        <v>11</v>
      </c>
      <c r="T91" s="24"/>
      <c r="U91" s="24"/>
      <c r="V91" s="24"/>
      <c r="W91" s="24"/>
      <c r="X91" s="24"/>
      <c r="Y91" s="24"/>
      <c r="Z91" s="24"/>
      <c r="AA91" s="89"/>
      <c r="AB91" s="89"/>
      <c r="AC91" s="89"/>
      <c r="AD91" s="89"/>
    </row>
    <row r="92" spans="1:30" s="25" customFormat="1" ht="21" customHeight="1" x14ac:dyDescent="0.2">
      <c r="A92" s="83"/>
      <c r="B92" s="85" t="s">
        <v>110</v>
      </c>
      <c r="C92" s="85"/>
      <c r="D92" s="85"/>
      <c r="E92" s="85"/>
      <c r="F92" s="34" t="s">
        <v>111</v>
      </c>
      <c r="G92" s="24"/>
      <c r="H92" s="24"/>
      <c r="I92" s="24"/>
      <c r="J92" s="24"/>
      <c r="K92" s="24"/>
      <c r="L92" s="24"/>
      <c r="M92" s="67">
        <f t="shared" ref="M92:R92" si="136">(M93*100)/$S$93</f>
        <v>14.285714285714286</v>
      </c>
      <c r="N92" s="67">
        <f t="shared" si="136"/>
        <v>28.571428571428573</v>
      </c>
      <c r="O92" s="67">
        <f t="shared" si="136"/>
        <v>57.142857142857146</v>
      </c>
      <c r="P92" s="67">
        <f t="shared" si="136"/>
        <v>71.428571428571431</v>
      </c>
      <c r="Q92" s="67">
        <f t="shared" si="136"/>
        <v>85.714285714285708</v>
      </c>
      <c r="R92" s="67">
        <f t="shared" si="136"/>
        <v>100</v>
      </c>
      <c r="S92" s="24"/>
      <c r="T92" s="24"/>
      <c r="U92" s="24"/>
      <c r="V92" s="24"/>
      <c r="W92" s="24"/>
      <c r="X92" s="24"/>
      <c r="Y92" s="24"/>
      <c r="Z92" s="24"/>
      <c r="AA92" s="146"/>
      <c r="AB92" s="123"/>
      <c r="AC92" s="88"/>
      <c r="AD92" s="88"/>
    </row>
    <row r="93" spans="1:30" s="25" customFormat="1" ht="27" hidden="1" customHeight="1" x14ac:dyDescent="0.2">
      <c r="A93" s="83"/>
      <c r="B93" s="20"/>
      <c r="C93" s="20"/>
      <c r="D93" s="20"/>
      <c r="E93" s="20"/>
      <c r="F93" s="34"/>
      <c r="G93" s="24"/>
      <c r="H93" s="24"/>
      <c r="I93" s="24"/>
      <c r="J93" s="24"/>
      <c r="K93" s="24"/>
      <c r="L93" s="24"/>
      <c r="M93" s="24">
        <f>SUM(M94:M97)</f>
        <v>1</v>
      </c>
      <c r="N93" s="24">
        <f>M93+SUM(N94:N97)</f>
        <v>2</v>
      </c>
      <c r="O93" s="24">
        <f>N93+SUM(O94:O97)</f>
        <v>4</v>
      </c>
      <c r="P93" s="24">
        <f>O93+SUM(P94:P97)</f>
        <v>5</v>
      </c>
      <c r="Q93" s="24">
        <f>P93+SUM(Q94:Q97)</f>
        <v>6</v>
      </c>
      <c r="R93" s="24">
        <f>Q93+SUM(R94:R97)</f>
        <v>7</v>
      </c>
      <c r="S93" s="24">
        <v>7</v>
      </c>
      <c r="T93" s="24"/>
      <c r="U93" s="24"/>
      <c r="V93" s="24"/>
      <c r="W93" s="24"/>
      <c r="X93" s="24"/>
      <c r="Y93" s="24"/>
      <c r="Z93" s="24"/>
      <c r="AA93" s="123"/>
      <c r="AB93" s="123"/>
      <c r="AC93" s="88"/>
      <c r="AD93" s="88"/>
    </row>
    <row r="94" spans="1:30" s="25" customFormat="1" x14ac:dyDescent="0.2">
      <c r="A94" s="83"/>
      <c r="B94" s="116" t="s">
        <v>113</v>
      </c>
      <c r="C94" s="117"/>
      <c r="D94" s="117"/>
      <c r="E94" s="118"/>
      <c r="F94" s="34"/>
      <c r="G94" s="24"/>
      <c r="H94" s="24"/>
      <c r="I94" s="24"/>
      <c r="J94" s="24"/>
      <c r="K94" s="24"/>
      <c r="L94" s="24"/>
      <c r="M94" s="69">
        <v>1</v>
      </c>
      <c r="N94" s="24"/>
      <c r="O94" s="24"/>
      <c r="P94" s="24"/>
      <c r="Q94" s="24"/>
      <c r="R94" s="24"/>
      <c r="S94" s="22">
        <f t="shared" si="127"/>
        <v>1</v>
      </c>
      <c r="T94" s="24"/>
      <c r="U94" s="24"/>
      <c r="V94" s="24"/>
      <c r="W94" s="24"/>
      <c r="X94" s="24"/>
      <c r="Y94" s="24"/>
      <c r="Z94" s="24"/>
      <c r="AA94" s="123"/>
      <c r="AB94" s="123"/>
      <c r="AC94" s="88"/>
      <c r="AD94" s="88"/>
    </row>
    <row r="95" spans="1:30" s="25" customFormat="1" x14ac:dyDescent="0.2">
      <c r="A95" s="83"/>
      <c r="B95" s="113" t="s">
        <v>114</v>
      </c>
      <c r="C95" s="114"/>
      <c r="D95" s="114"/>
      <c r="E95" s="115"/>
      <c r="F95" s="34"/>
      <c r="G95" s="24"/>
      <c r="H95" s="24"/>
      <c r="I95" s="24"/>
      <c r="J95" s="24"/>
      <c r="K95" s="24"/>
      <c r="L95" s="24"/>
      <c r="M95" s="24"/>
      <c r="N95" s="69">
        <v>1</v>
      </c>
      <c r="O95" s="69">
        <v>1</v>
      </c>
      <c r="P95" s="24"/>
      <c r="Q95" s="24"/>
      <c r="R95" s="24"/>
      <c r="S95" s="22">
        <f t="shared" si="127"/>
        <v>2</v>
      </c>
      <c r="T95" s="24"/>
      <c r="U95" s="24"/>
      <c r="V95" s="24"/>
      <c r="W95" s="24"/>
      <c r="X95" s="24"/>
      <c r="Y95" s="24"/>
      <c r="Z95" s="24"/>
      <c r="AA95" s="123"/>
      <c r="AB95" s="123"/>
      <c r="AC95" s="88"/>
      <c r="AD95" s="88"/>
    </row>
    <row r="96" spans="1:30" s="25" customFormat="1" x14ac:dyDescent="0.2">
      <c r="A96" s="83"/>
      <c r="B96" s="116" t="s">
        <v>115</v>
      </c>
      <c r="C96" s="117"/>
      <c r="D96" s="117"/>
      <c r="E96" s="118"/>
      <c r="F96" s="34"/>
      <c r="G96" s="24"/>
      <c r="H96" s="24"/>
      <c r="I96" s="24"/>
      <c r="J96" s="24"/>
      <c r="K96" s="24"/>
      <c r="L96" s="24"/>
      <c r="M96" s="24"/>
      <c r="N96" s="24"/>
      <c r="O96" s="69">
        <v>1</v>
      </c>
      <c r="P96" s="69">
        <v>1</v>
      </c>
      <c r="Q96" s="24"/>
      <c r="R96" s="24"/>
      <c r="S96" s="22">
        <f t="shared" si="127"/>
        <v>2</v>
      </c>
      <c r="T96" s="24"/>
      <c r="U96" s="24"/>
      <c r="V96" s="24"/>
      <c r="W96" s="24"/>
      <c r="X96" s="24"/>
      <c r="Y96" s="24"/>
      <c r="Z96" s="24"/>
      <c r="AA96" s="123"/>
      <c r="AB96" s="123"/>
      <c r="AC96" s="88"/>
      <c r="AD96" s="88"/>
    </row>
    <row r="97" spans="1:30" s="25" customFormat="1" ht="26" customHeight="1" x14ac:dyDescent="0.2">
      <c r="A97" s="83"/>
      <c r="B97" s="113" t="s">
        <v>116</v>
      </c>
      <c r="C97" s="114"/>
      <c r="D97" s="114"/>
      <c r="E97" s="115"/>
      <c r="F97" s="3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69">
        <v>1</v>
      </c>
      <c r="R97" s="69">
        <v>1</v>
      </c>
      <c r="S97" s="22">
        <f t="shared" si="127"/>
        <v>2</v>
      </c>
      <c r="T97" s="24"/>
      <c r="U97" s="24"/>
      <c r="V97" s="24"/>
      <c r="W97" s="24"/>
      <c r="X97" s="24"/>
      <c r="Y97" s="24"/>
      <c r="Z97" s="24"/>
      <c r="AA97" s="123"/>
      <c r="AB97" s="123"/>
      <c r="AC97" s="88"/>
      <c r="AD97" s="88"/>
    </row>
    <row r="98" spans="1:30" s="25" customFormat="1" ht="24" customHeight="1" x14ac:dyDescent="0.4">
      <c r="A98" s="83"/>
      <c r="B98" s="85" t="s">
        <v>117</v>
      </c>
      <c r="C98" s="85"/>
      <c r="D98" s="85"/>
      <c r="E98" s="85"/>
      <c r="F98" s="34" t="s">
        <v>118</v>
      </c>
      <c r="G98" s="68">
        <f>(G99*100)/$S$99</f>
        <v>12.5</v>
      </c>
      <c r="H98" s="68">
        <f>(H99*100)/$S$99</f>
        <v>37.5</v>
      </c>
      <c r="I98" s="68">
        <f>(I99*100)/$S$99</f>
        <v>50</v>
      </c>
      <c r="J98" s="68">
        <f>(J99*100)/$S$99</f>
        <v>75</v>
      </c>
      <c r="K98" s="68">
        <f>(K99*100)/$S$99</f>
        <v>100</v>
      </c>
      <c r="L98" s="35">
        <v>100</v>
      </c>
      <c r="M98" s="35">
        <v>100</v>
      </c>
      <c r="N98" s="35">
        <v>100</v>
      </c>
      <c r="O98" s="35">
        <v>100</v>
      </c>
      <c r="P98" s="35">
        <v>100</v>
      </c>
      <c r="Q98" s="35">
        <v>100</v>
      </c>
      <c r="R98" s="35">
        <v>100</v>
      </c>
      <c r="S98" s="22"/>
      <c r="T98" s="24"/>
      <c r="U98" s="24"/>
      <c r="V98" s="24"/>
      <c r="W98" s="24"/>
      <c r="X98" s="24"/>
      <c r="Y98" s="24"/>
      <c r="Z98" s="24"/>
      <c r="AA98" s="88"/>
      <c r="AB98" s="88"/>
      <c r="AC98" s="123"/>
      <c r="AD98" s="123"/>
    </row>
    <row r="99" spans="1:30" s="25" customFormat="1" ht="23.25" hidden="1" customHeight="1" x14ac:dyDescent="0.2">
      <c r="A99" s="83"/>
      <c r="B99" s="20"/>
      <c r="C99" s="20"/>
      <c r="D99" s="20"/>
      <c r="E99" s="20"/>
      <c r="F99" s="34"/>
      <c r="G99" s="24">
        <f>SUM(G100:G103)</f>
        <v>1</v>
      </c>
      <c r="H99" s="24">
        <f>G99+SUM(H100:H103)</f>
        <v>3</v>
      </c>
      <c r="I99" s="24">
        <f>H99+SUM(I100:I103)</f>
        <v>4</v>
      </c>
      <c r="J99" s="24">
        <f>I99+SUM(J100:J103)</f>
        <v>6</v>
      </c>
      <c r="K99" s="24">
        <f>J99+SUM(K100:K103)</f>
        <v>8</v>
      </c>
      <c r="L99" s="24"/>
      <c r="M99" s="24"/>
      <c r="N99" s="24"/>
      <c r="O99" s="24"/>
      <c r="P99" s="24"/>
      <c r="Q99" s="24"/>
      <c r="R99" s="24"/>
      <c r="S99" s="22">
        <v>8</v>
      </c>
      <c r="T99" s="24"/>
      <c r="U99" s="24"/>
      <c r="V99" s="24"/>
      <c r="W99" s="24"/>
      <c r="X99" s="24"/>
      <c r="Y99" s="24"/>
      <c r="Z99" s="24"/>
      <c r="AA99" s="89"/>
      <c r="AB99" s="89"/>
      <c r="AC99" s="123"/>
      <c r="AD99" s="123"/>
    </row>
    <row r="100" spans="1:30" s="25" customFormat="1" x14ac:dyDescent="0.2">
      <c r="A100" s="83"/>
      <c r="B100" s="113" t="s">
        <v>121</v>
      </c>
      <c r="C100" s="114"/>
      <c r="D100" s="114"/>
      <c r="E100" s="115"/>
      <c r="F100" s="34"/>
      <c r="G100" s="69">
        <v>1</v>
      </c>
      <c r="H100" s="69">
        <v>1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2">
        <f t="shared" si="127"/>
        <v>2</v>
      </c>
      <c r="T100" s="24"/>
      <c r="U100" s="24"/>
      <c r="V100" s="24"/>
      <c r="W100" s="24"/>
      <c r="X100" s="24"/>
      <c r="Y100" s="24"/>
      <c r="Z100" s="24"/>
      <c r="AA100" s="89"/>
      <c r="AB100" s="89"/>
      <c r="AC100" s="123"/>
      <c r="AD100" s="123"/>
    </row>
    <row r="101" spans="1:30" s="25" customFormat="1" x14ac:dyDescent="0.2">
      <c r="A101" s="83"/>
      <c r="B101" s="113" t="s">
        <v>122</v>
      </c>
      <c r="C101" s="114"/>
      <c r="D101" s="114"/>
      <c r="E101" s="115"/>
      <c r="F101" s="34"/>
      <c r="G101" s="24"/>
      <c r="H101" s="69">
        <v>1</v>
      </c>
      <c r="I101" s="69">
        <v>1</v>
      </c>
      <c r="J101" s="69">
        <v>1</v>
      </c>
      <c r="K101" s="24"/>
      <c r="L101" s="24"/>
      <c r="M101" s="24"/>
      <c r="N101" s="24"/>
      <c r="O101" s="24"/>
      <c r="P101" s="24"/>
      <c r="Q101" s="24"/>
      <c r="R101" s="24"/>
      <c r="S101" s="22">
        <f t="shared" si="127"/>
        <v>3</v>
      </c>
      <c r="T101" s="24"/>
      <c r="U101" s="24"/>
      <c r="V101" s="24"/>
      <c r="W101" s="24"/>
      <c r="X101" s="24"/>
      <c r="Y101" s="24"/>
      <c r="Z101" s="24"/>
      <c r="AA101" s="89"/>
      <c r="AB101" s="89"/>
      <c r="AC101" s="123"/>
      <c r="AD101" s="123"/>
    </row>
    <row r="102" spans="1:30" s="25" customFormat="1" x14ac:dyDescent="0.2">
      <c r="A102" s="83"/>
      <c r="B102" s="113" t="s">
        <v>123</v>
      </c>
      <c r="C102" s="114"/>
      <c r="D102" s="114"/>
      <c r="E102" s="115"/>
      <c r="F102" s="34"/>
      <c r="G102" s="24"/>
      <c r="H102" s="24"/>
      <c r="I102" s="24"/>
      <c r="J102" s="69">
        <v>1</v>
      </c>
      <c r="K102" s="69">
        <v>1</v>
      </c>
      <c r="L102" s="24"/>
      <c r="M102" s="24"/>
      <c r="N102" s="24"/>
      <c r="O102" s="24"/>
      <c r="P102" s="24"/>
      <c r="Q102" s="24"/>
      <c r="R102" s="24"/>
      <c r="S102" s="22">
        <f t="shared" si="127"/>
        <v>2</v>
      </c>
      <c r="T102" s="24"/>
      <c r="U102" s="24"/>
      <c r="V102" s="24"/>
      <c r="W102" s="24"/>
      <c r="X102" s="24"/>
      <c r="Y102" s="24"/>
      <c r="Z102" s="24"/>
      <c r="AA102" s="89"/>
      <c r="AB102" s="89"/>
      <c r="AC102" s="123"/>
      <c r="AD102" s="123"/>
    </row>
    <row r="103" spans="1:30" s="25" customFormat="1" x14ac:dyDescent="0.2">
      <c r="A103" s="83"/>
      <c r="B103" s="113" t="s">
        <v>116</v>
      </c>
      <c r="C103" s="114"/>
      <c r="D103" s="114"/>
      <c r="E103" s="115"/>
      <c r="F103" s="34"/>
      <c r="G103" s="24"/>
      <c r="H103" s="24"/>
      <c r="I103" s="24"/>
      <c r="J103" s="24"/>
      <c r="K103" s="69">
        <v>1</v>
      </c>
      <c r="L103" s="24"/>
      <c r="M103" s="24"/>
      <c r="N103" s="24"/>
      <c r="O103" s="24"/>
      <c r="P103" s="24"/>
      <c r="Q103" s="24"/>
      <c r="R103" s="24"/>
      <c r="S103" s="22">
        <f t="shared" si="127"/>
        <v>1</v>
      </c>
      <c r="T103" s="24"/>
      <c r="U103" s="24"/>
      <c r="V103" s="24"/>
      <c r="W103" s="24"/>
      <c r="X103" s="24"/>
      <c r="Y103" s="24"/>
      <c r="Z103" s="24"/>
      <c r="AA103" s="89"/>
      <c r="AB103" s="89"/>
      <c r="AC103" s="123"/>
      <c r="AD103" s="123"/>
    </row>
    <row r="104" spans="1:30" s="25" customFormat="1" ht="30" customHeight="1" x14ac:dyDescent="0.4">
      <c r="A104" s="83"/>
      <c r="B104" s="143" t="s">
        <v>124</v>
      </c>
      <c r="C104" s="144"/>
      <c r="D104" s="144"/>
      <c r="E104" s="145"/>
      <c r="F104" s="34" t="s">
        <v>125</v>
      </c>
      <c r="G104" s="68">
        <f t="shared" ref="G104:R104" si="137">(G105*100)/$S$105</f>
        <v>5.882352941176471</v>
      </c>
      <c r="H104" s="68">
        <f t="shared" si="137"/>
        <v>11.764705882352942</v>
      </c>
      <c r="I104" s="68">
        <f t="shared" si="137"/>
        <v>23.529411764705884</v>
      </c>
      <c r="J104" s="68">
        <f t="shared" si="137"/>
        <v>35.294117647058826</v>
      </c>
      <c r="K104" s="68">
        <f t="shared" si="137"/>
        <v>41.176470588235297</v>
      </c>
      <c r="L104" s="68">
        <f t="shared" si="137"/>
        <v>47.058823529411768</v>
      </c>
      <c r="M104" s="68">
        <f t="shared" si="137"/>
        <v>52.941176470588232</v>
      </c>
      <c r="N104" s="68">
        <f t="shared" si="137"/>
        <v>58.823529411764703</v>
      </c>
      <c r="O104" s="68">
        <f t="shared" si="137"/>
        <v>64.705882352941174</v>
      </c>
      <c r="P104" s="68">
        <f t="shared" si="137"/>
        <v>76.470588235294116</v>
      </c>
      <c r="Q104" s="68">
        <f t="shared" si="137"/>
        <v>88.235294117647058</v>
      </c>
      <c r="R104" s="68">
        <f t="shared" si="137"/>
        <v>100</v>
      </c>
      <c r="S104" s="24"/>
      <c r="T104" s="24" t="s">
        <v>126</v>
      </c>
      <c r="U104" s="24"/>
      <c r="V104" s="24"/>
      <c r="W104" s="24"/>
      <c r="X104" s="24"/>
      <c r="Y104" s="24"/>
      <c r="Z104" s="24"/>
      <c r="AA104" s="88"/>
      <c r="AB104" s="88"/>
      <c r="AC104" s="88"/>
      <c r="AD104" s="88"/>
    </row>
    <row r="105" spans="1:30" s="25" customFormat="1" ht="18" hidden="1" customHeight="1" x14ac:dyDescent="0.2">
      <c r="A105" s="83"/>
      <c r="B105" s="20"/>
      <c r="C105" s="20"/>
      <c r="D105" s="20"/>
      <c r="E105" s="20"/>
      <c r="F105" s="34"/>
      <c r="G105" s="24">
        <f>SUM(G106:G111)</f>
        <v>1</v>
      </c>
      <c r="H105" s="24">
        <f t="shared" ref="H105:R105" si="138">G105+SUM(H106:H111)</f>
        <v>2</v>
      </c>
      <c r="I105" s="24">
        <f t="shared" si="138"/>
        <v>4</v>
      </c>
      <c r="J105" s="24">
        <f t="shared" si="138"/>
        <v>6</v>
      </c>
      <c r="K105" s="24">
        <f t="shared" si="138"/>
        <v>7</v>
      </c>
      <c r="L105" s="24">
        <f t="shared" si="138"/>
        <v>8</v>
      </c>
      <c r="M105" s="24">
        <f t="shared" si="138"/>
        <v>9</v>
      </c>
      <c r="N105" s="24">
        <f t="shared" si="138"/>
        <v>10</v>
      </c>
      <c r="O105" s="24">
        <f t="shared" si="138"/>
        <v>11</v>
      </c>
      <c r="P105" s="24">
        <f t="shared" si="138"/>
        <v>13</v>
      </c>
      <c r="Q105" s="24">
        <f t="shared" si="138"/>
        <v>15</v>
      </c>
      <c r="R105" s="24">
        <f t="shared" si="138"/>
        <v>17</v>
      </c>
      <c r="S105" s="24">
        <v>17</v>
      </c>
      <c r="T105" s="24"/>
      <c r="U105" s="24"/>
      <c r="V105" s="24"/>
      <c r="W105" s="24"/>
      <c r="X105" s="24"/>
      <c r="Y105" s="24"/>
      <c r="Z105" s="24"/>
      <c r="AA105" s="89"/>
      <c r="AB105" s="89"/>
      <c r="AC105" s="89"/>
      <c r="AD105" s="89"/>
    </row>
    <row r="106" spans="1:30" s="25" customFormat="1" x14ac:dyDescent="0.2">
      <c r="A106" s="83"/>
      <c r="B106" s="116" t="s">
        <v>129</v>
      </c>
      <c r="C106" s="117"/>
      <c r="D106" s="117"/>
      <c r="E106" s="118"/>
      <c r="F106" s="34"/>
      <c r="G106" s="69">
        <v>1</v>
      </c>
      <c r="H106" s="69">
        <v>1</v>
      </c>
      <c r="I106" s="69">
        <v>1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2">
        <f t="shared" si="127"/>
        <v>3</v>
      </c>
      <c r="T106" s="24"/>
      <c r="U106" s="24"/>
      <c r="V106" s="24"/>
      <c r="W106" s="24"/>
      <c r="X106" s="24"/>
      <c r="Y106" s="24"/>
      <c r="Z106" s="24"/>
      <c r="AA106" s="89"/>
      <c r="AB106" s="89"/>
      <c r="AC106" s="89"/>
      <c r="AD106" s="89"/>
    </row>
    <row r="107" spans="1:30" s="25" customFormat="1" x14ac:dyDescent="0.2">
      <c r="A107" s="83"/>
      <c r="B107" s="116" t="s">
        <v>130</v>
      </c>
      <c r="C107" s="117"/>
      <c r="D107" s="117"/>
      <c r="E107" s="118"/>
      <c r="F107" s="34"/>
      <c r="G107" s="24"/>
      <c r="H107" s="24"/>
      <c r="I107" s="69">
        <v>1</v>
      </c>
      <c r="J107" s="69">
        <v>1</v>
      </c>
      <c r="K107" s="24"/>
      <c r="L107" s="24"/>
      <c r="M107" s="24"/>
      <c r="N107" s="24"/>
      <c r="O107" s="24"/>
      <c r="P107" s="24"/>
      <c r="Q107" s="24"/>
      <c r="R107" s="24"/>
      <c r="S107" s="22">
        <f t="shared" si="127"/>
        <v>2</v>
      </c>
      <c r="T107" s="24"/>
      <c r="U107" s="24"/>
      <c r="V107" s="24"/>
      <c r="W107" s="24"/>
      <c r="X107" s="24"/>
      <c r="Y107" s="24"/>
      <c r="Z107" s="24"/>
      <c r="AA107" s="89"/>
      <c r="AB107" s="89"/>
      <c r="AC107" s="89"/>
      <c r="AD107" s="89"/>
    </row>
    <row r="108" spans="1:30" s="25" customFormat="1" x14ac:dyDescent="0.2">
      <c r="A108" s="83"/>
      <c r="B108" s="113" t="s">
        <v>131</v>
      </c>
      <c r="C108" s="114"/>
      <c r="D108" s="114"/>
      <c r="E108" s="115"/>
      <c r="F108" s="34"/>
      <c r="G108" s="24"/>
      <c r="H108" s="24"/>
      <c r="I108" s="24"/>
      <c r="J108" s="69">
        <v>1</v>
      </c>
      <c r="K108" s="69">
        <v>1</v>
      </c>
      <c r="L108" s="69">
        <v>1</v>
      </c>
      <c r="M108" s="69">
        <v>1</v>
      </c>
      <c r="N108" s="69">
        <v>1</v>
      </c>
      <c r="O108" s="69">
        <v>1</v>
      </c>
      <c r="P108" s="69">
        <v>1</v>
      </c>
      <c r="Q108" s="24"/>
      <c r="R108" s="24"/>
      <c r="S108" s="22">
        <f t="shared" si="127"/>
        <v>7</v>
      </c>
      <c r="T108" s="24"/>
      <c r="U108" s="24"/>
      <c r="V108" s="24"/>
      <c r="W108" s="24"/>
      <c r="X108" s="24"/>
      <c r="Y108" s="24"/>
      <c r="Z108" s="24"/>
      <c r="AA108" s="89"/>
      <c r="AB108" s="89"/>
      <c r="AC108" s="89"/>
      <c r="AD108" s="89"/>
    </row>
    <row r="109" spans="1:30" s="25" customFormat="1" x14ac:dyDescent="0.2">
      <c r="A109" s="83"/>
      <c r="B109" s="116" t="s">
        <v>132</v>
      </c>
      <c r="C109" s="117"/>
      <c r="D109" s="117"/>
      <c r="E109" s="118"/>
      <c r="F109" s="34"/>
      <c r="G109" s="24"/>
      <c r="H109" s="24"/>
      <c r="I109" s="24"/>
      <c r="J109" s="24"/>
      <c r="K109" s="24"/>
      <c r="L109" s="24"/>
      <c r="M109" s="24"/>
      <c r="N109" s="24"/>
      <c r="O109" s="24"/>
      <c r="P109" s="69">
        <v>1</v>
      </c>
      <c r="Q109" s="69">
        <v>1</v>
      </c>
      <c r="R109" s="24"/>
      <c r="S109" s="22">
        <f t="shared" si="127"/>
        <v>2</v>
      </c>
      <c r="T109" s="24"/>
      <c r="U109" s="24"/>
      <c r="V109" s="24"/>
      <c r="W109" s="24"/>
      <c r="X109" s="24"/>
      <c r="Y109" s="24"/>
      <c r="Z109" s="24"/>
      <c r="AA109" s="89"/>
      <c r="AB109" s="89"/>
      <c r="AC109" s="89"/>
      <c r="AD109" s="89"/>
    </row>
    <row r="110" spans="1:30" s="25" customFormat="1" x14ac:dyDescent="0.2">
      <c r="A110" s="83"/>
      <c r="B110" s="113" t="s">
        <v>116</v>
      </c>
      <c r="C110" s="114"/>
      <c r="D110" s="114"/>
      <c r="E110" s="115"/>
      <c r="F110" s="3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69">
        <v>1</v>
      </c>
      <c r="R110" s="69">
        <v>1</v>
      </c>
      <c r="S110" s="22">
        <f t="shared" si="127"/>
        <v>2</v>
      </c>
      <c r="T110" s="24"/>
      <c r="U110" s="24"/>
      <c r="V110" s="24"/>
      <c r="W110" s="24"/>
      <c r="X110" s="24"/>
      <c r="Y110" s="24"/>
      <c r="Z110" s="24"/>
      <c r="AA110" s="89"/>
      <c r="AB110" s="89"/>
      <c r="AC110" s="89"/>
      <c r="AD110" s="89"/>
    </row>
    <row r="111" spans="1:30" s="25" customFormat="1" ht="33" customHeight="1" x14ac:dyDescent="0.2">
      <c r="A111" s="84"/>
      <c r="B111" s="116" t="s">
        <v>133</v>
      </c>
      <c r="C111" s="117"/>
      <c r="D111" s="117"/>
      <c r="E111" s="118"/>
      <c r="F111" s="3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69">
        <v>1</v>
      </c>
      <c r="S111" s="22">
        <f t="shared" si="127"/>
        <v>1</v>
      </c>
      <c r="T111" s="24"/>
      <c r="U111" s="24"/>
      <c r="V111" s="24"/>
      <c r="W111" s="24"/>
      <c r="X111" s="24"/>
      <c r="Y111" s="24"/>
      <c r="Z111" s="24"/>
      <c r="AA111" s="89"/>
      <c r="AB111" s="89"/>
      <c r="AC111" s="89"/>
      <c r="AD111" s="89"/>
    </row>
    <row r="112" spans="1:30" s="31" customFormat="1" ht="137" customHeight="1" x14ac:dyDescent="0.2">
      <c r="A112" s="12">
        <v>2.2999999999999998</v>
      </c>
      <c r="B112" s="26" t="s">
        <v>134</v>
      </c>
      <c r="C112" s="26" t="s">
        <v>135</v>
      </c>
      <c r="D112" s="26" t="s">
        <v>136</v>
      </c>
      <c r="E112" s="65" t="s">
        <v>137</v>
      </c>
      <c r="F112" s="12"/>
      <c r="G112" s="36">
        <f t="shared" ref="G112:R112" si="139">(G113+G120+G125+G129+G133+G136+G141)*100/$S$112</f>
        <v>1.9047619047619049</v>
      </c>
      <c r="H112" s="36">
        <f t="shared" si="139"/>
        <v>4.7619047619047619</v>
      </c>
      <c r="I112" s="36">
        <f t="shared" si="139"/>
        <v>9.5238095238095237</v>
      </c>
      <c r="J112" s="36">
        <f t="shared" si="139"/>
        <v>20.476190476190474</v>
      </c>
      <c r="K112" s="36">
        <f t="shared" si="139"/>
        <v>36.190476190476197</v>
      </c>
      <c r="L112" s="36">
        <f t="shared" si="139"/>
        <v>64.761904761904759</v>
      </c>
      <c r="M112" s="36">
        <f t="shared" si="139"/>
        <v>89.523809523809533</v>
      </c>
      <c r="N112" s="36">
        <f t="shared" si="139"/>
        <v>93.333333333333329</v>
      </c>
      <c r="O112" s="36">
        <f t="shared" si="139"/>
        <v>97.142857142857139</v>
      </c>
      <c r="P112" s="36">
        <f t="shared" si="139"/>
        <v>98.095238095238102</v>
      </c>
      <c r="Q112" s="36">
        <f t="shared" si="139"/>
        <v>99.047619047619037</v>
      </c>
      <c r="R112" s="36">
        <f t="shared" si="139"/>
        <v>100</v>
      </c>
      <c r="S112" s="26">
        <v>700</v>
      </c>
      <c r="T112" s="26" t="s">
        <v>138</v>
      </c>
      <c r="U112" s="37">
        <v>0.1</v>
      </c>
      <c r="V112" s="38"/>
      <c r="W112" s="38"/>
      <c r="X112" s="38"/>
      <c r="Y112" s="38"/>
      <c r="Z112" s="38"/>
      <c r="AA112" s="57"/>
      <c r="AB112" s="57"/>
      <c r="AC112" s="57"/>
      <c r="AD112" s="57"/>
    </row>
    <row r="113" spans="1:30" s="25" customFormat="1" ht="26" customHeight="1" x14ac:dyDescent="0.2">
      <c r="A113" s="82"/>
      <c r="B113" s="104" t="s">
        <v>139</v>
      </c>
      <c r="C113" s="105"/>
      <c r="D113" s="105"/>
      <c r="E113" s="106"/>
      <c r="F113" s="24" t="s">
        <v>140</v>
      </c>
      <c r="G113" s="67">
        <f t="shared" ref="G113:M113" si="140">(G114*100)/$S$114</f>
        <v>6.666666666666667</v>
      </c>
      <c r="H113" s="67">
        <f t="shared" si="140"/>
        <v>13.333333333333334</v>
      </c>
      <c r="I113" s="67">
        <f t="shared" si="140"/>
        <v>26.666666666666668</v>
      </c>
      <c r="J113" s="67">
        <f t="shared" si="140"/>
        <v>46.666666666666664</v>
      </c>
      <c r="K113" s="67">
        <f t="shared" si="140"/>
        <v>66.666666666666671</v>
      </c>
      <c r="L113" s="67">
        <f t="shared" si="140"/>
        <v>86.666666666666671</v>
      </c>
      <c r="M113" s="67">
        <f t="shared" si="140"/>
        <v>100</v>
      </c>
      <c r="N113" s="35">
        <v>100</v>
      </c>
      <c r="O113" s="35">
        <v>100</v>
      </c>
      <c r="P113" s="35">
        <v>100</v>
      </c>
      <c r="Q113" s="35">
        <v>100</v>
      </c>
      <c r="R113" s="35">
        <v>100</v>
      </c>
      <c r="S113" s="24"/>
      <c r="T113" s="24"/>
      <c r="U113" s="24"/>
      <c r="V113" s="24"/>
      <c r="W113" s="24"/>
      <c r="X113" s="24"/>
      <c r="Y113" s="24"/>
      <c r="Z113" s="24"/>
      <c r="AA113" s="88"/>
      <c r="AB113" s="88"/>
      <c r="AC113" s="88"/>
      <c r="AD113" s="88"/>
    </row>
    <row r="114" spans="1:30" s="25" customFormat="1" ht="23.25" hidden="1" customHeight="1" x14ac:dyDescent="0.2">
      <c r="A114" s="83"/>
      <c r="B114" s="20"/>
      <c r="C114" s="20"/>
      <c r="D114" s="20"/>
      <c r="E114" s="20"/>
      <c r="F114" s="24"/>
      <c r="G114" s="24">
        <f>SUM(G115:G119)</f>
        <v>1</v>
      </c>
      <c r="H114" s="24">
        <f t="shared" ref="H114:M114" si="141">G114+SUM(H115:H119)</f>
        <v>2</v>
      </c>
      <c r="I114" s="24">
        <f t="shared" si="141"/>
        <v>4</v>
      </c>
      <c r="J114" s="24">
        <f t="shared" si="141"/>
        <v>7</v>
      </c>
      <c r="K114" s="24">
        <f t="shared" si="141"/>
        <v>10</v>
      </c>
      <c r="L114" s="24">
        <f t="shared" si="141"/>
        <v>13</v>
      </c>
      <c r="M114" s="24">
        <f t="shared" si="141"/>
        <v>15</v>
      </c>
      <c r="N114" s="24"/>
      <c r="O114" s="24"/>
      <c r="P114" s="24"/>
      <c r="Q114" s="24"/>
      <c r="R114" s="24"/>
      <c r="S114" s="24">
        <v>15</v>
      </c>
      <c r="T114" s="24"/>
      <c r="U114" s="24"/>
      <c r="V114" s="24"/>
      <c r="W114" s="24"/>
      <c r="X114" s="24"/>
      <c r="Y114" s="24"/>
      <c r="Z114" s="24"/>
      <c r="AA114" s="89"/>
      <c r="AB114" s="89"/>
      <c r="AC114" s="89"/>
      <c r="AD114" s="89"/>
    </row>
    <row r="115" spans="1:30" s="25" customFormat="1" x14ac:dyDescent="0.2">
      <c r="A115" s="83"/>
      <c r="B115" s="113" t="s">
        <v>143</v>
      </c>
      <c r="C115" s="114"/>
      <c r="D115" s="114"/>
      <c r="E115" s="115"/>
      <c r="F115" s="24"/>
      <c r="G115" s="24"/>
      <c r="H115" s="24"/>
      <c r="I115" s="69">
        <v>1</v>
      </c>
      <c r="J115" s="69">
        <v>1</v>
      </c>
      <c r="K115" s="24"/>
      <c r="L115" s="24"/>
      <c r="M115" s="24"/>
      <c r="N115" s="24"/>
      <c r="O115" s="24"/>
      <c r="P115" s="24"/>
      <c r="Q115" s="24"/>
      <c r="R115" s="24"/>
      <c r="S115" s="22">
        <f t="shared" ref="S115:S194" si="142">SUM(G115:R115)</f>
        <v>2</v>
      </c>
      <c r="T115" s="24"/>
      <c r="U115" s="24"/>
      <c r="V115" s="24"/>
      <c r="W115" s="24"/>
      <c r="X115" s="24"/>
      <c r="Y115" s="24"/>
      <c r="Z115" s="24"/>
      <c r="AA115" s="89"/>
      <c r="AB115" s="89"/>
      <c r="AC115" s="89"/>
      <c r="AD115" s="89"/>
    </row>
    <row r="116" spans="1:30" s="25" customFormat="1" x14ac:dyDescent="0.2">
      <c r="A116" s="83"/>
      <c r="B116" s="113" t="s">
        <v>144</v>
      </c>
      <c r="C116" s="114"/>
      <c r="D116" s="114"/>
      <c r="E116" s="115"/>
      <c r="F116" s="24"/>
      <c r="G116" s="24"/>
      <c r="H116" s="24"/>
      <c r="I116" s="24"/>
      <c r="J116" s="69">
        <v>1</v>
      </c>
      <c r="K116" s="69">
        <v>1</v>
      </c>
      <c r="L116" s="69">
        <v>1</v>
      </c>
      <c r="M116" s="24"/>
      <c r="N116" s="24"/>
      <c r="O116" s="24"/>
      <c r="P116" s="24"/>
      <c r="Q116" s="24"/>
      <c r="R116" s="24"/>
      <c r="S116" s="22">
        <f t="shared" si="142"/>
        <v>3</v>
      </c>
      <c r="T116" s="24"/>
      <c r="U116" s="24"/>
      <c r="V116" s="24"/>
      <c r="W116" s="24"/>
      <c r="X116" s="24"/>
      <c r="Y116" s="24"/>
      <c r="Z116" s="24"/>
      <c r="AA116" s="89"/>
      <c r="AB116" s="89"/>
      <c r="AC116" s="89"/>
      <c r="AD116" s="89"/>
    </row>
    <row r="117" spans="1:30" s="25" customFormat="1" x14ac:dyDescent="0.2">
      <c r="A117" s="83"/>
      <c r="B117" s="113" t="s">
        <v>145</v>
      </c>
      <c r="C117" s="114"/>
      <c r="D117" s="114"/>
      <c r="E117" s="115"/>
      <c r="F117" s="24"/>
      <c r="G117" s="24"/>
      <c r="H117" s="24"/>
      <c r="I117" s="24"/>
      <c r="J117" s="24"/>
      <c r="K117" s="69">
        <v>1</v>
      </c>
      <c r="L117" s="69">
        <v>1</v>
      </c>
      <c r="M117" s="24"/>
      <c r="N117" s="24"/>
      <c r="O117" s="24"/>
      <c r="P117" s="24"/>
      <c r="Q117" s="24"/>
      <c r="R117" s="24"/>
      <c r="S117" s="22">
        <f t="shared" si="142"/>
        <v>2</v>
      </c>
      <c r="T117" s="24"/>
      <c r="U117" s="24"/>
      <c r="V117" s="24"/>
      <c r="W117" s="24"/>
      <c r="X117" s="24"/>
      <c r="Y117" s="24"/>
      <c r="Z117" s="24"/>
      <c r="AA117" s="89"/>
      <c r="AB117" s="89"/>
      <c r="AC117" s="89"/>
      <c r="AD117" s="89"/>
    </row>
    <row r="118" spans="1:30" s="25" customFormat="1" x14ac:dyDescent="0.2">
      <c r="A118" s="83"/>
      <c r="B118" s="134" t="s">
        <v>146</v>
      </c>
      <c r="C118" s="135"/>
      <c r="D118" s="135"/>
      <c r="E118" s="136"/>
      <c r="F118" s="24"/>
      <c r="G118" s="69">
        <v>1</v>
      </c>
      <c r="H118" s="69">
        <v>1</v>
      </c>
      <c r="I118" s="69">
        <v>1</v>
      </c>
      <c r="J118" s="69">
        <v>1</v>
      </c>
      <c r="K118" s="69">
        <v>1</v>
      </c>
      <c r="L118" s="69">
        <v>1</v>
      </c>
      <c r="M118" s="69">
        <v>1</v>
      </c>
      <c r="N118" s="24"/>
      <c r="O118" s="24"/>
      <c r="P118" s="24"/>
      <c r="Q118" s="24"/>
      <c r="R118" s="24"/>
      <c r="S118" s="22">
        <f t="shared" si="142"/>
        <v>7</v>
      </c>
      <c r="T118" s="24"/>
      <c r="U118" s="24"/>
      <c r="V118" s="24"/>
      <c r="W118" s="24"/>
      <c r="X118" s="24"/>
      <c r="Y118" s="24"/>
      <c r="Z118" s="24"/>
      <c r="AA118" s="89"/>
      <c r="AB118" s="89"/>
      <c r="AC118" s="89"/>
      <c r="AD118" s="89"/>
    </row>
    <row r="119" spans="1:30" s="25" customFormat="1" ht="28" customHeight="1" x14ac:dyDescent="0.2">
      <c r="A119" s="83"/>
      <c r="B119" s="113" t="s">
        <v>116</v>
      </c>
      <c r="C119" s="114"/>
      <c r="D119" s="114"/>
      <c r="E119" s="115"/>
      <c r="F119" s="24"/>
      <c r="G119" s="24"/>
      <c r="H119" s="24"/>
      <c r="I119" s="24"/>
      <c r="J119" s="24"/>
      <c r="K119" s="24"/>
      <c r="L119" s="24"/>
      <c r="M119" s="69">
        <v>1</v>
      </c>
      <c r="N119" s="24"/>
      <c r="O119" s="24"/>
      <c r="P119" s="24"/>
      <c r="Q119" s="24"/>
      <c r="R119" s="24"/>
      <c r="S119" s="22">
        <f t="shared" si="142"/>
        <v>1</v>
      </c>
      <c r="T119" s="24"/>
      <c r="U119" s="24"/>
      <c r="V119" s="24"/>
      <c r="W119" s="24"/>
      <c r="X119" s="24"/>
      <c r="Y119" s="24"/>
      <c r="Z119" s="24"/>
      <c r="AA119" s="89"/>
      <c r="AB119" s="89"/>
      <c r="AC119" s="89"/>
      <c r="AD119" s="89"/>
    </row>
    <row r="120" spans="1:30" s="25" customFormat="1" ht="28" customHeight="1" x14ac:dyDescent="0.4">
      <c r="A120" s="83"/>
      <c r="B120" s="85" t="s">
        <v>147</v>
      </c>
      <c r="C120" s="85"/>
      <c r="D120" s="85"/>
      <c r="E120" s="85"/>
      <c r="F120" s="39" t="s">
        <v>148</v>
      </c>
      <c r="G120" s="68">
        <f t="shared" ref="G120:R120" si="143">(G121*100)/$S$121</f>
        <v>6.666666666666667</v>
      </c>
      <c r="H120" s="68">
        <f t="shared" si="143"/>
        <v>20</v>
      </c>
      <c r="I120" s="68">
        <f t="shared" si="143"/>
        <v>40</v>
      </c>
      <c r="J120" s="68">
        <f t="shared" si="143"/>
        <v>46.666666666666664</v>
      </c>
      <c r="K120" s="68">
        <f t="shared" si="143"/>
        <v>53.333333333333336</v>
      </c>
      <c r="L120" s="68">
        <f t="shared" si="143"/>
        <v>60</v>
      </c>
      <c r="M120" s="68">
        <f t="shared" si="143"/>
        <v>66.666666666666671</v>
      </c>
      <c r="N120" s="68">
        <f t="shared" si="143"/>
        <v>73.333333333333329</v>
      </c>
      <c r="O120" s="68">
        <f t="shared" si="143"/>
        <v>80</v>
      </c>
      <c r="P120" s="68">
        <f t="shared" si="143"/>
        <v>86.666666666666671</v>
      </c>
      <c r="Q120" s="68">
        <f t="shared" si="143"/>
        <v>93.333333333333329</v>
      </c>
      <c r="R120" s="68">
        <f t="shared" si="143"/>
        <v>100</v>
      </c>
      <c r="S120" s="24"/>
      <c r="T120" s="24"/>
      <c r="U120" s="24"/>
      <c r="V120" s="24"/>
      <c r="W120" s="24"/>
      <c r="X120" s="24"/>
      <c r="Y120" s="24"/>
      <c r="Z120" s="24"/>
      <c r="AA120" s="88"/>
      <c r="AB120" s="88"/>
      <c r="AC120" s="88"/>
      <c r="AD120" s="88"/>
    </row>
    <row r="121" spans="1:30" s="25" customFormat="1" ht="23.25" hidden="1" customHeight="1" x14ac:dyDescent="0.2">
      <c r="A121" s="83"/>
      <c r="B121" s="20"/>
      <c r="C121" s="20"/>
      <c r="D121" s="20"/>
      <c r="E121" s="20"/>
      <c r="F121" s="39"/>
      <c r="G121" s="24">
        <f>SUM(G122:G124)</f>
        <v>1</v>
      </c>
      <c r="H121" s="24">
        <f t="shared" ref="H121:R121" si="144">G121+SUM(H122:H124)</f>
        <v>3</v>
      </c>
      <c r="I121" s="24">
        <f t="shared" si="144"/>
        <v>6</v>
      </c>
      <c r="J121" s="24">
        <f t="shared" si="144"/>
        <v>7</v>
      </c>
      <c r="K121" s="24">
        <f t="shared" si="144"/>
        <v>8</v>
      </c>
      <c r="L121" s="24">
        <f t="shared" si="144"/>
        <v>9</v>
      </c>
      <c r="M121" s="24">
        <f t="shared" si="144"/>
        <v>10</v>
      </c>
      <c r="N121" s="24">
        <f t="shared" si="144"/>
        <v>11</v>
      </c>
      <c r="O121" s="24">
        <f t="shared" si="144"/>
        <v>12</v>
      </c>
      <c r="P121" s="24">
        <f t="shared" si="144"/>
        <v>13</v>
      </c>
      <c r="Q121" s="24">
        <f t="shared" si="144"/>
        <v>14</v>
      </c>
      <c r="R121" s="24">
        <f t="shared" si="144"/>
        <v>15</v>
      </c>
      <c r="S121" s="24">
        <v>15</v>
      </c>
      <c r="T121" s="24"/>
      <c r="U121" s="24"/>
      <c r="V121" s="24"/>
      <c r="W121" s="24"/>
      <c r="X121" s="24"/>
      <c r="Y121" s="24"/>
      <c r="Z121" s="24"/>
      <c r="AA121" s="89"/>
      <c r="AB121" s="89"/>
      <c r="AC121" s="89"/>
      <c r="AD121" s="89"/>
    </row>
    <row r="122" spans="1:30" s="25" customFormat="1" x14ac:dyDescent="0.2">
      <c r="A122" s="83"/>
      <c r="B122" s="113" t="s">
        <v>150</v>
      </c>
      <c r="C122" s="114"/>
      <c r="D122" s="114"/>
      <c r="E122" s="115"/>
      <c r="F122" s="39"/>
      <c r="G122" s="69">
        <v>1</v>
      </c>
      <c r="H122" s="69">
        <v>1</v>
      </c>
      <c r="I122" s="69">
        <v>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22">
        <f t="shared" si="142"/>
        <v>3</v>
      </c>
      <c r="T122" s="24"/>
      <c r="U122" s="24"/>
      <c r="V122" s="24"/>
      <c r="W122" s="24"/>
      <c r="X122" s="24"/>
      <c r="Y122" s="24"/>
      <c r="Z122" s="24"/>
      <c r="AA122" s="89"/>
      <c r="AB122" s="89"/>
      <c r="AC122" s="89"/>
      <c r="AD122" s="89"/>
    </row>
    <row r="123" spans="1:30" s="25" customFormat="1" x14ac:dyDescent="0.2">
      <c r="A123" s="83"/>
      <c r="B123" s="113" t="s">
        <v>151</v>
      </c>
      <c r="C123" s="114"/>
      <c r="D123" s="114"/>
      <c r="E123" s="115"/>
      <c r="F123" s="24"/>
      <c r="G123" s="24"/>
      <c r="H123" s="69">
        <v>1</v>
      </c>
      <c r="I123" s="69">
        <v>1</v>
      </c>
      <c r="J123" s="69">
        <v>1</v>
      </c>
      <c r="K123" s="69">
        <v>1</v>
      </c>
      <c r="L123" s="69">
        <v>1</v>
      </c>
      <c r="M123" s="69">
        <v>1</v>
      </c>
      <c r="N123" s="69">
        <v>1</v>
      </c>
      <c r="O123" s="69">
        <v>1</v>
      </c>
      <c r="P123" s="69">
        <v>1</v>
      </c>
      <c r="Q123" s="69">
        <v>1</v>
      </c>
      <c r="R123" s="69">
        <v>1</v>
      </c>
      <c r="S123" s="22">
        <f t="shared" si="142"/>
        <v>11</v>
      </c>
      <c r="T123" s="24"/>
      <c r="U123" s="24"/>
      <c r="V123" s="24"/>
      <c r="W123" s="24"/>
      <c r="X123" s="24"/>
      <c r="Y123" s="24"/>
      <c r="Z123" s="24"/>
      <c r="AA123" s="89"/>
      <c r="AB123" s="89"/>
      <c r="AC123" s="89"/>
      <c r="AD123" s="89"/>
    </row>
    <row r="124" spans="1:30" s="25" customFormat="1" ht="31" customHeight="1" x14ac:dyDescent="0.2">
      <c r="A124" s="83"/>
      <c r="B124" s="113" t="s">
        <v>152</v>
      </c>
      <c r="C124" s="114"/>
      <c r="D124" s="114"/>
      <c r="E124" s="115"/>
      <c r="F124" s="24"/>
      <c r="G124" s="24"/>
      <c r="H124" s="24"/>
      <c r="I124" s="69">
        <v>1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2">
        <f t="shared" si="142"/>
        <v>1</v>
      </c>
      <c r="T124" s="24"/>
      <c r="U124" s="24"/>
      <c r="V124" s="24"/>
      <c r="W124" s="24"/>
      <c r="X124" s="24"/>
      <c r="Y124" s="24"/>
      <c r="Z124" s="24"/>
      <c r="AA124" s="89"/>
      <c r="AB124" s="89"/>
      <c r="AC124" s="89"/>
      <c r="AD124" s="89"/>
    </row>
    <row r="125" spans="1:30" s="25" customFormat="1" ht="28" customHeight="1" x14ac:dyDescent="0.4">
      <c r="A125" s="83"/>
      <c r="B125" s="85" t="s">
        <v>153</v>
      </c>
      <c r="C125" s="85"/>
      <c r="D125" s="85"/>
      <c r="E125" s="85"/>
      <c r="F125" s="39" t="s">
        <v>154</v>
      </c>
      <c r="G125" s="24"/>
      <c r="H125" s="24"/>
      <c r="I125" s="24"/>
      <c r="J125" s="68">
        <f>(J126*100)/$S$126</f>
        <v>25</v>
      </c>
      <c r="K125" s="68">
        <f>(K126*100)/$S$126</f>
        <v>50</v>
      </c>
      <c r="L125" s="68">
        <f>(L126*100)/$S$126</f>
        <v>75</v>
      </c>
      <c r="M125" s="68">
        <f>(M126*100)/$S$126</f>
        <v>100</v>
      </c>
      <c r="N125" s="35">
        <v>100</v>
      </c>
      <c r="O125" s="35">
        <v>100</v>
      </c>
      <c r="P125" s="35">
        <v>100</v>
      </c>
      <c r="Q125" s="35">
        <v>100</v>
      </c>
      <c r="R125" s="35">
        <v>100</v>
      </c>
      <c r="S125" s="24"/>
      <c r="T125" s="24"/>
      <c r="U125" s="24"/>
      <c r="V125" s="24"/>
      <c r="W125" s="24"/>
      <c r="X125" s="24"/>
      <c r="Y125" s="24"/>
      <c r="Z125" s="24"/>
      <c r="AA125" s="86"/>
      <c r="AB125" s="88"/>
      <c r="AC125" s="88"/>
      <c r="AD125" s="123"/>
    </row>
    <row r="126" spans="1:30" s="25" customFormat="1" ht="23.25" hidden="1" customHeight="1" x14ac:dyDescent="0.2">
      <c r="A126" s="83"/>
      <c r="B126" s="20"/>
      <c r="C126" s="20"/>
      <c r="D126" s="20"/>
      <c r="E126" s="20"/>
      <c r="F126" s="39"/>
      <c r="G126" s="24"/>
      <c r="H126" s="24"/>
      <c r="I126" s="24"/>
      <c r="J126" s="24">
        <f>SUM(J127:J128)</f>
        <v>1</v>
      </c>
      <c r="K126" s="24">
        <f>J126+SUM(K127:K128)</f>
        <v>2</v>
      </c>
      <c r="L126" s="24">
        <f>K126+SUM(L127:L128)</f>
        <v>3</v>
      </c>
      <c r="M126" s="24">
        <f>L126+SUM(M127:M128)</f>
        <v>4</v>
      </c>
      <c r="N126" s="35"/>
      <c r="O126" s="35"/>
      <c r="P126" s="35"/>
      <c r="Q126" s="35"/>
      <c r="R126" s="35"/>
      <c r="S126" s="24">
        <v>4</v>
      </c>
      <c r="T126" s="24"/>
      <c r="U126" s="24"/>
      <c r="V126" s="24"/>
      <c r="W126" s="24"/>
      <c r="X126" s="24"/>
      <c r="Y126" s="24"/>
      <c r="Z126" s="24"/>
      <c r="AA126" s="86"/>
      <c r="AB126" s="89"/>
      <c r="AC126" s="89"/>
      <c r="AD126" s="123"/>
    </row>
    <row r="127" spans="1:30" s="25" customFormat="1" ht="26" customHeight="1" x14ac:dyDescent="0.2">
      <c r="A127" s="83"/>
      <c r="B127" s="116" t="s">
        <v>155</v>
      </c>
      <c r="C127" s="117"/>
      <c r="D127" s="117"/>
      <c r="E127" s="118"/>
      <c r="F127" s="39"/>
      <c r="G127" s="24"/>
      <c r="H127" s="24"/>
      <c r="I127" s="24"/>
      <c r="J127" s="69">
        <v>1</v>
      </c>
      <c r="K127" s="69">
        <v>1</v>
      </c>
      <c r="L127" s="24"/>
      <c r="M127" s="24"/>
      <c r="N127" s="35"/>
      <c r="O127" s="35"/>
      <c r="P127" s="35"/>
      <c r="Q127" s="35"/>
      <c r="R127" s="35"/>
      <c r="S127" s="22">
        <f t="shared" si="142"/>
        <v>2</v>
      </c>
      <c r="T127" s="24"/>
      <c r="U127" s="24"/>
      <c r="V127" s="24"/>
      <c r="W127" s="24"/>
      <c r="X127" s="24"/>
      <c r="Y127" s="24"/>
      <c r="Z127" s="24"/>
      <c r="AA127" s="86"/>
      <c r="AB127" s="89"/>
      <c r="AC127" s="89"/>
      <c r="AD127" s="123"/>
    </row>
    <row r="128" spans="1:30" s="25" customFormat="1" ht="47.25" customHeight="1" x14ac:dyDescent="0.2">
      <c r="A128" s="83"/>
      <c r="B128" s="116" t="s">
        <v>156</v>
      </c>
      <c r="C128" s="117"/>
      <c r="D128" s="117"/>
      <c r="E128" s="118"/>
      <c r="F128" s="39"/>
      <c r="G128" s="24"/>
      <c r="H128" s="24"/>
      <c r="I128" s="24"/>
      <c r="J128" s="24"/>
      <c r="K128" s="24"/>
      <c r="L128" s="69">
        <v>1</v>
      </c>
      <c r="M128" s="69">
        <v>1</v>
      </c>
      <c r="N128" s="35"/>
      <c r="O128" s="35"/>
      <c r="P128" s="35"/>
      <c r="Q128" s="35"/>
      <c r="R128" s="35"/>
      <c r="S128" s="22">
        <f t="shared" si="142"/>
        <v>2</v>
      </c>
      <c r="T128" s="24"/>
      <c r="U128" s="24"/>
      <c r="V128" s="24"/>
      <c r="W128" s="24"/>
      <c r="X128" s="24"/>
      <c r="Y128" s="24"/>
      <c r="Z128" s="24"/>
      <c r="AA128" s="86"/>
      <c r="AB128" s="133"/>
      <c r="AC128" s="133"/>
      <c r="AD128" s="123"/>
    </row>
    <row r="129" spans="1:30" s="25" customFormat="1" ht="24.75" customHeight="1" x14ac:dyDescent="0.4">
      <c r="A129" s="83"/>
      <c r="B129" s="85" t="s">
        <v>157</v>
      </c>
      <c r="C129" s="85"/>
      <c r="D129" s="85"/>
      <c r="E129" s="85"/>
      <c r="F129" s="39" t="s">
        <v>158</v>
      </c>
      <c r="G129" s="24"/>
      <c r="H129" s="24"/>
      <c r="I129" s="24"/>
      <c r="J129" s="68">
        <f>(J130*100)/$S$130</f>
        <v>25</v>
      </c>
      <c r="K129" s="68">
        <f>(K130*100)/$S$130</f>
        <v>50</v>
      </c>
      <c r="L129" s="68">
        <f>(L130*100)/$S$130</f>
        <v>75</v>
      </c>
      <c r="M129" s="68">
        <f>(M130*100)/$S$130</f>
        <v>100</v>
      </c>
      <c r="N129" s="35">
        <v>100</v>
      </c>
      <c r="O129" s="35">
        <v>100</v>
      </c>
      <c r="P129" s="35">
        <v>100</v>
      </c>
      <c r="Q129" s="35">
        <v>100</v>
      </c>
      <c r="R129" s="35">
        <v>100</v>
      </c>
      <c r="S129" s="24"/>
      <c r="T129" s="24"/>
      <c r="U129" s="24"/>
      <c r="V129" s="24"/>
      <c r="W129" s="24"/>
      <c r="X129" s="24"/>
      <c r="Y129" s="24"/>
      <c r="Z129" s="24"/>
      <c r="AA129" s="88"/>
      <c r="AB129" s="88"/>
      <c r="AC129" s="88"/>
      <c r="AD129" s="123"/>
    </row>
    <row r="130" spans="1:30" s="25" customFormat="1" ht="23.25" hidden="1" customHeight="1" x14ac:dyDescent="0.2">
      <c r="A130" s="83"/>
      <c r="B130" s="20"/>
      <c r="C130" s="20"/>
      <c r="D130" s="20"/>
      <c r="E130" s="20"/>
      <c r="F130" s="39"/>
      <c r="G130" s="24"/>
      <c r="H130" s="24"/>
      <c r="I130" s="24"/>
      <c r="J130" s="40">
        <f>SUM(J131:J132)</f>
        <v>1</v>
      </c>
      <c r="K130" s="40">
        <f>J130+SUM(K131:K132)</f>
        <v>2</v>
      </c>
      <c r="L130" s="40">
        <f>K130+SUM(L131:L132)</f>
        <v>3</v>
      </c>
      <c r="M130" s="40">
        <f>L130+SUM(M131:M132)</f>
        <v>4</v>
      </c>
      <c r="N130" s="52"/>
      <c r="O130" s="35"/>
      <c r="P130" s="35"/>
      <c r="Q130" s="35"/>
      <c r="R130" s="35"/>
      <c r="S130" s="24">
        <v>4</v>
      </c>
      <c r="T130" s="24"/>
      <c r="U130" s="24"/>
      <c r="V130" s="24"/>
      <c r="W130" s="24"/>
      <c r="X130" s="24"/>
      <c r="Y130" s="24"/>
      <c r="Z130" s="24"/>
      <c r="AA130" s="89"/>
      <c r="AB130" s="89"/>
      <c r="AC130" s="89"/>
      <c r="AD130" s="123"/>
    </row>
    <row r="131" spans="1:30" s="25" customFormat="1" x14ac:dyDescent="0.2">
      <c r="A131" s="83"/>
      <c r="B131" s="116" t="s">
        <v>159</v>
      </c>
      <c r="C131" s="117"/>
      <c r="D131" s="117"/>
      <c r="E131" s="118"/>
      <c r="F131" s="39"/>
      <c r="G131" s="24"/>
      <c r="H131" s="24"/>
      <c r="I131" s="24"/>
      <c r="J131" s="69">
        <v>1</v>
      </c>
      <c r="K131" s="69">
        <v>1</v>
      </c>
      <c r="L131" s="69">
        <v>1</v>
      </c>
      <c r="M131" s="24"/>
      <c r="N131" s="35"/>
      <c r="O131" s="35"/>
      <c r="P131" s="35"/>
      <c r="Q131" s="35"/>
      <c r="R131" s="35"/>
      <c r="S131" s="22">
        <f t="shared" si="142"/>
        <v>3</v>
      </c>
      <c r="T131" s="24"/>
      <c r="U131" s="24"/>
      <c r="V131" s="24"/>
      <c r="W131" s="24"/>
      <c r="X131" s="24"/>
      <c r="Y131" s="24"/>
      <c r="Z131" s="24"/>
      <c r="AA131" s="89"/>
      <c r="AB131" s="89"/>
      <c r="AC131" s="89"/>
      <c r="AD131" s="123"/>
    </row>
    <row r="132" spans="1:30" s="25" customFormat="1" x14ac:dyDescent="0.2">
      <c r="A132" s="83"/>
      <c r="B132" s="113" t="s">
        <v>160</v>
      </c>
      <c r="C132" s="114"/>
      <c r="D132" s="114"/>
      <c r="E132" s="115"/>
      <c r="F132" s="39"/>
      <c r="G132" s="24"/>
      <c r="H132" s="24"/>
      <c r="I132" s="24"/>
      <c r="J132" s="24"/>
      <c r="K132" s="24"/>
      <c r="L132" s="24"/>
      <c r="M132" s="69">
        <v>1</v>
      </c>
      <c r="N132" s="35"/>
      <c r="O132" s="35"/>
      <c r="P132" s="35"/>
      <c r="Q132" s="35"/>
      <c r="R132" s="35"/>
      <c r="S132" s="22">
        <f t="shared" si="142"/>
        <v>1</v>
      </c>
      <c r="T132" s="24"/>
      <c r="U132" s="24"/>
      <c r="V132" s="24"/>
      <c r="W132" s="24"/>
      <c r="X132" s="24"/>
      <c r="Y132" s="24"/>
      <c r="Z132" s="24"/>
      <c r="AA132" s="89"/>
      <c r="AB132" s="89"/>
      <c r="AC132" s="89"/>
      <c r="AD132" s="123"/>
    </row>
    <row r="133" spans="1:30" s="25" customFormat="1" ht="25.5" customHeight="1" x14ac:dyDescent="0.4">
      <c r="A133" s="83"/>
      <c r="B133" s="85" t="s">
        <v>161</v>
      </c>
      <c r="C133" s="85"/>
      <c r="D133" s="85"/>
      <c r="E133" s="85"/>
      <c r="F133" s="39" t="s">
        <v>162</v>
      </c>
      <c r="G133" s="24"/>
      <c r="H133" s="24"/>
      <c r="I133" s="24"/>
      <c r="J133" s="24"/>
      <c r="K133" s="68">
        <f>(K134*100)/$S$134</f>
        <v>33.333333333333336</v>
      </c>
      <c r="L133" s="68">
        <f>(L134*100)/$S$134</f>
        <v>66.666666666666671</v>
      </c>
      <c r="M133" s="68">
        <f>(M134*100)/$S$134</f>
        <v>100</v>
      </c>
      <c r="N133" s="35">
        <v>100</v>
      </c>
      <c r="O133" s="35">
        <v>100</v>
      </c>
      <c r="P133" s="35">
        <v>100</v>
      </c>
      <c r="Q133" s="35">
        <v>100</v>
      </c>
      <c r="R133" s="35">
        <v>100</v>
      </c>
      <c r="S133" s="22"/>
      <c r="T133" s="24"/>
      <c r="U133" s="24"/>
      <c r="V133" s="24"/>
      <c r="W133" s="24"/>
      <c r="X133" s="24"/>
      <c r="Y133" s="24"/>
      <c r="Z133" s="24"/>
      <c r="AA133" s="86"/>
      <c r="AB133" s="88"/>
      <c r="AC133" s="88"/>
      <c r="AD133" s="123"/>
    </row>
    <row r="134" spans="1:30" s="25" customFormat="1" ht="20.25" hidden="1" customHeight="1" x14ac:dyDescent="0.2">
      <c r="A134" s="83"/>
      <c r="B134" s="20"/>
      <c r="C134" s="20"/>
      <c r="D134" s="20"/>
      <c r="E134" s="20"/>
      <c r="F134" s="39"/>
      <c r="G134" s="24"/>
      <c r="H134" s="24"/>
      <c r="I134" s="24"/>
      <c r="J134" s="24"/>
      <c r="K134" s="24">
        <f>K135</f>
        <v>1</v>
      </c>
      <c r="L134" s="24">
        <f>K134+L135</f>
        <v>2</v>
      </c>
      <c r="M134" s="24">
        <f>L134+M135</f>
        <v>3</v>
      </c>
      <c r="N134" s="35"/>
      <c r="O134" s="35"/>
      <c r="P134" s="35"/>
      <c r="Q134" s="35"/>
      <c r="R134" s="35"/>
      <c r="S134" s="22">
        <v>3</v>
      </c>
      <c r="T134" s="24"/>
      <c r="U134" s="24"/>
      <c r="V134" s="24"/>
      <c r="W134" s="24"/>
      <c r="X134" s="24"/>
      <c r="Y134" s="24"/>
      <c r="Z134" s="24"/>
      <c r="AA134" s="86"/>
      <c r="AB134" s="89"/>
      <c r="AC134" s="89"/>
      <c r="AD134" s="123"/>
    </row>
    <row r="135" spans="1:30" s="25" customFormat="1" ht="28" customHeight="1" x14ac:dyDescent="0.2">
      <c r="A135" s="83"/>
      <c r="B135" s="116" t="s">
        <v>163</v>
      </c>
      <c r="C135" s="117"/>
      <c r="D135" s="117"/>
      <c r="E135" s="118"/>
      <c r="F135" s="39"/>
      <c r="G135" s="24"/>
      <c r="H135" s="24"/>
      <c r="I135" s="24"/>
      <c r="J135" s="24"/>
      <c r="K135" s="69">
        <v>1</v>
      </c>
      <c r="L135" s="69">
        <v>1</v>
      </c>
      <c r="M135" s="69">
        <v>1</v>
      </c>
      <c r="N135" s="35"/>
      <c r="O135" s="35"/>
      <c r="P135" s="35"/>
      <c r="Q135" s="35"/>
      <c r="R135" s="35"/>
      <c r="S135" s="22">
        <f t="shared" si="142"/>
        <v>3</v>
      </c>
      <c r="T135" s="24"/>
      <c r="U135" s="24"/>
      <c r="V135" s="24"/>
      <c r="W135" s="24"/>
      <c r="X135" s="24"/>
      <c r="Y135" s="24"/>
      <c r="Z135" s="24"/>
      <c r="AA135" s="86"/>
      <c r="AB135" s="89"/>
      <c r="AC135" s="89"/>
      <c r="AD135" s="123"/>
    </row>
    <row r="136" spans="1:30" s="25" customFormat="1" ht="29" customHeight="1" x14ac:dyDescent="0.4">
      <c r="A136" s="83"/>
      <c r="B136" s="85" t="s">
        <v>164</v>
      </c>
      <c r="C136" s="85"/>
      <c r="D136" s="85"/>
      <c r="E136" s="85"/>
      <c r="F136" s="39" t="s">
        <v>165</v>
      </c>
      <c r="G136" s="24"/>
      <c r="H136" s="24"/>
      <c r="I136" s="24"/>
      <c r="J136" s="24"/>
      <c r="K136" s="24"/>
      <c r="L136" s="68">
        <f>(L137*100)/$S$137</f>
        <v>50</v>
      </c>
      <c r="M136" s="68">
        <f>(M137*100)/$S$137</f>
        <v>100</v>
      </c>
      <c r="N136" s="35">
        <v>100</v>
      </c>
      <c r="O136" s="35">
        <v>100</v>
      </c>
      <c r="P136" s="35">
        <v>100</v>
      </c>
      <c r="Q136" s="35">
        <v>100</v>
      </c>
      <c r="R136" s="35">
        <v>100</v>
      </c>
      <c r="S136" s="22"/>
      <c r="T136" s="24"/>
      <c r="U136" s="24"/>
      <c r="V136" s="24"/>
      <c r="W136" s="24"/>
      <c r="X136" s="24"/>
      <c r="Y136" s="24"/>
      <c r="Z136" s="24"/>
      <c r="AA136" s="86"/>
      <c r="AB136" s="127"/>
      <c r="AC136" s="89"/>
      <c r="AD136" s="123"/>
    </row>
    <row r="137" spans="1:30" s="25" customFormat="1" ht="23.25" hidden="1" customHeight="1" x14ac:dyDescent="0.2">
      <c r="A137" s="83"/>
      <c r="B137" s="20"/>
      <c r="C137" s="20"/>
      <c r="D137" s="20"/>
      <c r="E137" s="20"/>
      <c r="F137" s="39"/>
      <c r="G137" s="24"/>
      <c r="H137" s="24"/>
      <c r="I137" s="24"/>
      <c r="J137" s="24"/>
      <c r="K137" s="24"/>
      <c r="L137" s="24">
        <f>SUM(L138:L140)</f>
        <v>2</v>
      </c>
      <c r="M137" s="24">
        <f>L137+SUM(M138:M140)</f>
        <v>4</v>
      </c>
      <c r="N137" s="35"/>
      <c r="O137" s="35"/>
      <c r="P137" s="35"/>
      <c r="Q137" s="35"/>
      <c r="R137" s="35"/>
      <c r="S137" s="22">
        <v>4</v>
      </c>
      <c r="T137" s="24"/>
      <c r="U137" s="24"/>
      <c r="V137" s="24"/>
      <c r="W137" s="24"/>
      <c r="X137" s="24"/>
      <c r="Y137" s="24"/>
      <c r="Z137" s="24"/>
      <c r="AA137" s="86"/>
      <c r="AB137" s="128"/>
      <c r="AC137" s="89"/>
      <c r="AD137" s="123"/>
    </row>
    <row r="138" spans="1:30" s="25" customFormat="1" x14ac:dyDescent="0.2">
      <c r="A138" s="83"/>
      <c r="B138" s="113" t="s">
        <v>166</v>
      </c>
      <c r="C138" s="114"/>
      <c r="D138" s="114"/>
      <c r="E138" s="115"/>
      <c r="F138" s="39"/>
      <c r="G138" s="24"/>
      <c r="H138" s="24"/>
      <c r="I138" s="24"/>
      <c r="J138" s="24"/>
      <c r="K138" s="24"/>
      <c r="L138" s="69">
        <v>1</v>
      </c>
      <c r="M138" s="24"/>
      <c r="N138" s="35"/>
      <c r="O138" s="35"/>
      <c r="P138" s="35"/>
      <c r="Q138" s="35"/>
      <c r="R138" s="35"/>
      <c r="S138" s="22">
        <f t="shared" si="142"/>
        <v>1</v>
      </c>
      <c r="T138" s="24"/>
      <c r="U138" s="24"/>
      <c r="V138" s="24"/>
      <c r="W138" s="24"/>
      <c r="X138" s="24"/>
      <c r="Y138" s="24"/>
      <c r="Z138" s="24"/>
      <c r="AA138" s="86"/>
      <c r="AB138" s="128"/>
      <c r="AC138" s="89"/>
      <c r="AD138" s="123"/>
    </row>
    <row r="139" spans="1:30" s="25" customFormat="1" x14ac:dyDescent="0.2">
      <c r="A139" s="83"/>
      <c r="B139" s="113" t="s">
        <v>167</v>
      </c>
      <c r="C139" s="114"/>
      <c r="D139" s="114"/>
      <c r="E139" s="115"/>
      <c r="F139" s="39"/>
      <c r="G139" s="24"/>
      <c r="H139" s="24"/>
      <c r="I139" s="24"/>
      <c r="J139" s="24"/>
      <c r="K139" s="24"/>
      <c r="L139" s="69">
        <v>1</v>
      </c>
      <c r="M139" s="69">
        <v>1</v>
      </c>
      <c r="N139" s="35"/>
      <c r="O139" s="35"/>
      <c r="P139" s="35"/>
      <c r="Q139" s="35"/>
      <c r="R139" s="35"/>
      <c r="S139" s="22">
        <f t="shared" si="142"/>
        <v>2</v>
      </c>
      <c r="T139" s="24"/>
      <c r="U139" s="24"/>
      <c r="V139" s="24"/>
      <c r="W139" s="24"/>
      <c r="X139" s="24"/>
      <c r="Y139" s="24"/>
      <c r="Z139" s="24"/>
      <c r="AA139" s="86"/>
      <c r="AB139" s="128"/>
      <c r="AC139" s="89"/>
      <c r="AD139" s="123"/>
    </row>
    <row r="140" spans="1:30" s="25" customFormat="1" x14ac:dyDescent="0.2">
      <c r="A140" s="83"/>
      <c r="B140" s="113" t="s">
        <v>168</v>
      </c>
      <c r="C140" s="114"/>
      <c r="D140" s="114"/>
      <c r="E140" s="115"/>
      <c r="F140" s="39"/>
      <c r="G140" s="24"/>
      <c r="H140" s="24"/>
      <c r="I140" s="24"/>
      <c r="J140" s="24"/>
      <c r="K140" s="24"/>
      <c r="L140" s="24"/>
      <c r="M140" s="69">
        <v>1</v>
      </c>
      <c r="N140" s="35"/>
      <c r="O140" s="35"/>
      <c r="P140" s="35"/>
      <c r="Q140" s="35"/>
      <c r="R140" s="35"/>
      <c r="S140" s="22">
        <f t="shared" si="142"/>
        <v>1</v>
      </c>
      <c r="T140" s="24"/>
      <c r="U140" s="24"/>
      <c r="V140" s="24"/>
      <c r="W140" s="24"/>
      <c r="X140" s="24"/>
      <c r="Y140" s="24"/>
      <c r="Z140" s="24"/>
      <c r="AA140" s="86"/>
      <c r="AB140" s="128"/>
      <c r="AC140" s="89"/>
      <c r="AD140" s="123"/>
    </row>
    <row r="141" spans="1:30" s="25" customFormat="1" ht="28" customHeight="1" x14ac:dyDescent="0.4">
      <c r="A141" s="83"/>
      <c r="B141" s="85" t="s">
        <v>169</v>
      </c>
      <c r="C141" s="85"/>
      <c r="D141" s="85"/>
      <c r="E141" s="85"/>
      <c r="F141" s="39" t="s">
        <v>170</v>
      </c>
      <c r="G141" s="24"/>
      <c r="H141" s="24"/>
      <c r="I141" s="24"/>
      <c r="J141" s="24"/>
      <c r="K141" s="24"/>
      <c r="L141" s="68">
        <f>(L142*100)/$S$142</f>
        <v>40</v>
      </c>
      <c r="M141" s="68">
        <f>(M142*100)/$S$142</f>
        <v>60</v>
      </c>
      <c r="N141" s="68">
        <f>(N142*100)/$S$142</f>
        <v>80</v>
      </c>
      <c r="O141" s="68">
        <f>(O142*100)/$S$142</f>
        <v>100</v>
      </c>
      <c r="P141" s="35">
        <v>100</v>
      </c>
      <c r="Q141" s="35">
        <v>100</v>
      </c>
      <c r="R141" s="35">
        <v>100</v>
      </c>
      <c r="S141" s="22"/>
      <c r="T141" s="24"/>
      <c r="U141" s="24"/>
      <c r="V141" s="24"/>
      <c r="W141" s="24"/>
      <c r="X141" s="24"/>
      <c r="Y141" s="24"/>
      <c r="Z141" s="24"/>
      <c r="AA141" s="86"/>
      <c r="AB141" s="127"/>
      <c r="AC141" s="88"/>
      <c r="AD141" s="123"/>
    </row>
    <row r="142" spans="1:30" s="25" customFormat="1" ht="11" hidden="1" customHeight="1" x14ac:dyDescent="0.2">
      <c r="A142" s="83"/>
      <c r="B142" s="20"/>
      <c r="C142" s="20"/>
      <c r="D142" s="20"/>
      <c r="E142" s="20"/>
      <c r="F142" s="39"/>
      <c r="G142" s="24"/>
      <c r="H142" s="24"/>
      <c r="I142" s="24"/>
      <c r="J142" s="24"/>
      <c r="K142" s="24"/>
      <c r="L142" s="24">
        <f>SUM(L143:L145)</f>
        <v>2</v>
      </c>
      <c r="M142" s="24">
        <f>L142+SUM(M143:M145)</f>
        <v>3</v>
      </c>
      <c r="N142" s="24">
        <f>M142+SUM(N143:N145)</f>
        <v>4</v>
      </c>
      <c r="O142" s="24">
        <f>N142+SUM(O143:O145)</f>
        <v>5</v>
      </c>
      <c r="P142" s="24"/>
      <c r="Q142" s="24"/>
      <c r="R142" s="24"/>
      <c r="S142" s="22">
        <v>5</v>
      </c>
      <c r="T142" s="24"/>
      <c r="U142" s="24"/>
      <c r="V142" s="24"/>
      <c r="W142" s="24"/>
      <c r="X142" s="24"/>
      <c r="Y142" s="24"/>
      <c r="Z142" s="24"/>
      <c r="AA142" s="86"/>
      <c r="AB142" s="128"/>
      <c r="AC142" s="89"/>
      <c r="AD142" s="123"/>
    </row>
    <row r="143" spans="1:30" s="25" customFormat="1" x14ac:dyDescent="0.2">
      <c r="A143" s="83"/>
      <c r="B143" s="113" t="s">
        <v>171</v>
      </c>
      <c r="C143" s="114"/>
      <c r="D143" s="114"/>
      <c r="E143" s="115"/>
      <c r="F143" s="39"/>
      <c r="G143" s="24"/>
      <c r="H143" s="24"/>
      <c r="I143" s="24"/>
      <c r="J143" s="24"/>
      <c r="K143" s="24"/>
      <c r="L143" s="69">
        <v>1</v>
      </c>
      <c r="M143" s="24"/>
      <c r="N143" s="24"/>
      <c r="O143" s="24"/>
      <c r="P143" s="24"/>
      <c r="Q143" s="24"/>
      <c r="R143" s="24"/>
      <c r="S143" s="22">
        <f t="shared" si="142"/>
        <v>1</v>
      </c>
      <c r="T143" s="24"/>
      <c r="U143" s="24"/>
      <c r="V143" s="24"/>
      <c r="W143" s="24"/>
      <c r="X143" s="24"/>
      <c r="Y143" s="24"/>
      <c r="Z143" s="24"/>
      <c r="AA143" s="86"/>
      <c r="AB143" s="128"/>
      <c r="AC143" s="89"/>
      <c r="AD143" s="123"/>
    </row>
    <row r="144" spans="1:30" s="25" customFormat="1" x14ac:dyDescent="0.2">
      <c r="A144" s="83"/>
      <c r="B144" s="113" t="s">
        <v>172</v>
      </c>
      <c r="C144" s="114"/>
      <c r="D144" s="114"/>
      <c r="E144" s="115"/>
      <c r="F144" s="39"/>
      <c r="G144" s="24"/>
      <c r="H144" s="24"/>
      <c r="I144" s="24"/>
      <c r="J144" s="24"/>
      <c r="K144" s="24"/>
      <c r="L144" s="69">
        <v>1</v>
      </c>
      <c r="M144" s="69">
        <v>1</v>
      </c>
      <c r="N144" s="69">
        <v>1</v>
      </c>
      <c r="O144" s="24"/>
      <c r="P144" s="24"/>
      <c r="Q144" s="24"/>
      <c r="R144" s="24"/>
      <c r="S144" s="22">
        <f t="shared" si="142"/>
        <v>3</v>
      </c>
      <c r="T144" s="24"/>
      <c r="U144" s="24"/>
      <c r="V144" s="24"/>
      <c r="W144" s="24"/>
      <c r="X144" s="24"/>
      <c r="Y144" s="24"/>
      <c r="Z144" s="24"/>
      <c r="AA144" s="86"/>
      <c r="AB144" s="128"/>
      <c r="AC144" s="89"/>
      <c r="AD144" s="123"/>
    </row>
    <row r="145" spans="1:30" s="25" customFormat="1" ht="31" customHeight="1" x14ac:dyDescent="0.2">
      <c r="A145" s="84"/>
      <c r="B145" s="113" t="s">
        <v>173</v>
      </c>
      <c r="C145" s="114"/>
      <c r="D145" s="114"/>
      <c r="E145" s="115"/>
      <c r="F145" s="39"/>
      <c r="G145" s="24"/>
      <c r="H145" s="24"/>
      <c r="I145" s="24"/>
      <c r="J145" s="24"/>
      <c r="K145" s="24"/>
      <c r="L145" s="24"/>
      <c r="M145" s="24"/>
      <c r="N145" s="24"/>
      <c r="O145" s="69">
        <v>1</v>
      </c>
      <c r="P145" s="24"/>
      <c r="Q145" s="24"/>
      <c r="R145" s="24"/>
      <c r="S145" s="22">
        <f t="shared" si="142"/>
        <v>1</v>
      </c>
      <c r="T145" s="24"/>
      <c r="U145" s="24"/>
      <c r="V145" s="24"/>
      <c r="W145" s="24"/>
      <c r="X145" s="24"/>
      <c r="Y145" s="24"/>
      <c r="Z145" s="24"/>
      <c r="AA145" s="86"/>
      <c r="AB145" s="128"/>
      <c r="AC145" s="89"/>
      <c r="AD145" s="123"/>
    </row>
    <row r="146" spans="1:30" s="31" customFormat="1" ht="175" x14ac:dyDescent="0.2">
      <c r="A146" s="12">
        <v>2.4</v>
      </c>
      <c r="B146" s="26" t="s">
        <v>174</v>
      </c>
      <c r="C146" s="26" t="s">
        <v>175</v>
      </c>
      <c r="D146" s="26" t="s">
        <v>176</v>
      </c>
      <c r="E146" s="64" t="s">
        <v>177</v>
      </c>
      <c r="F146" s="26"/>
      <c r="G146" s="28">
        <f t="shared" ref="G146:R146" si="145">(G147+G152+G156+G160+G164+G167+G172+G175)*100/$S$146</f>
        <v>2.5924185463659146</v>
      </c>
      <c r="H146" s="28">
        <f t="shared" si="145"/>
        <v>5.1848370927318292</v>
      </c>
      <c r="I146" s="28">
        <f t="shared" si="145"/>
        <v>7.777255639097743</v>
      </c>
      <c r="J146" s="28">
        <f t="shared" si="145"/>
        <v>10.81610275689223</v>
      </c>
      <c r="K146" s="28">
        <f t="shared" si="145"/>
        <v>14.06641604010025</v>
      </c>
      <c r="L146" s="28">
        <f t="shared" si="145"/>
        <v>22.141290726817044</v>
      </c>
      <c r="M146" s="28">
        <f t="shared" si="145"/>
        <v>33.162593984962406</v>
      </c>
      <c r="N146" s="28">
        <f t="shared" si="145"/>
        <v>47.332393483709275</v>
      </c>
      <c r="O146" s="28">
        <f t="shared" si="145"/>
        <v>61.621240601503757</v>
      </c>
      <c r="P146" s="28">
        <f t="shared" si="145"/>
        <v>79.213659147869677</v>
      </c>
      <c r="Q146" s="28">
        <f t="shared" si="145"/>
        <v>94.517543859649109</v>
      </c>
      <c r="R146" s="28">
        <f t="shared" si="145"/>
        <v>105.35714285714286</v>
      </c>
      <c r="S146" s="41">
        <v>800</v>
      </c>
      <c r="T146" s="26" t="s">
        <v>178</v>
      </c>
      <c r="U146" s="37">
        <v>0.3</v>
      </c>
      <c r="V146" s="38"/>
      <c r="W146" s="38"/>
      <c r="X146" s="38"/>
      <c r="Y146" s="38"/>
      <c r="Z146" s="38"/>
      <c r="AA146" s="57"/>
      <c r="AB146" s="57"/>
      <c r="AC146" s="57"/>
      <c r="AD146" s="57"/>
    </row>
    <row r="147" spans="1:30" s="25" customFormat="1" ht="30" customHeight="1" x14ac:dyDescent="0.2">
      <c r="A147" s="82"/>
      <c r="B147" s="85" t="s">
        <v>179</v>
      </c>
      <c r="C147" s="85"/>
      <c r="D147" s="85"/>
      <c r="E147" s="85"/>
      <c r="F147" s="42" t="s">
        <v>180</v>
      </c>
      <c r="G147" s="67">
        <f t="shared" ref="G147:R147" si="146">(G148*100)/$S$148</f>
        <v>5.2631578947368425</v>
      </c>
      <c r="H147" s="67">
        <f t="shared" si="146"/>
        <v>10.526315789473685</v>
      </c>
      <c r="I147" s="67">
        <f t="shared" si="146"/>
        <v>15.789473684210526</v>
      </c>
      <c r="J147" s="67">
        <f t="shared" si="146"/>
        <v>21.05263157894737</v>
      </c>
      <c r="K147" s="67">
        <f t="shared" si="146"/>
        <v>31.578947368421051</v>
      </c>
      <c r="L147" s="67">
        <f t="shared" si="146"/>
        <v>47.368421052631582</v>
      </c>
      <c r="M147" s="67">
        <f t="shared" si="146"/>
        <v>63.157894736842103</v>
      </c>
      <c r="N147" s="67">
        <f t="shared" si="146"/>
        <v>68.421052631578945</v>
      </c>
      <c r="O147" s="67">
        <f t="shared" si="146"/>
        <v>73.684210526315795</v>
      </c>
      <c r="P147" s="67">
        <f t="shared" si="146"/>
        <v>78.94736842105263</v>
      </c>
      <c r="Q147" s="67">
        <f t="shared" si="146"/>
        <v>89.473684210526315</v>
      </c>
      <c r="R147" s="67">
        <f t="shared" si="146"/>
        <v>100</v>
      </c>
      <c r="S147" s="22"/>
      <c r="T147" s="24"/>
      <c r="U147" s="24"/>
      <c r="V147" s="24"/>
      <c r="W147" s="24"/>
      <c r="X147" s="24"/>
      <c r="Y147" s="24"/>
      <c r="Z147" s="24"/>
      <c r="AA147" s="88"/>
      <c r="AB147" s="88"/>
      <c r="AC147" s="88"/>
      <c r="AD147" s="88"/>
    </row>
    <row r="148" spans="1:30" s="25" customFormat="1" ht="24" hidden="1" customHeight="1" x14ac:dyDescent="0.2">
      <c r="A148" s="83"/>
      <c r="B148" s="20"/>
      <c r="C148" s="20"/>
      <c r="D148" s="20"/>
      <c r="E148" s="20"/>
      <c r="F148" s="42"/>
      <c r="G148" s="24">
        <f>SUM(G149:G151)</f>
        <v>1</v>
      </c>
      <c r="H148" s="24">
        <f t="shared" ref="H148:R148" si="147">G148+SUM(H149:H151)</f>
        <v>2</v>
      </c>
      <c r="I148" s="24">
        <f t="shared" si="147"/>
        <v>3</v>
      </c>
      <c r="J148" s="24">
        <f t="shared" si="147"/>
        <v>4</v>
      </c>
      <c r="K148" s="24">
        <f t="shared" si="147"/>
        <v>6</v>
      </c>
      <c r="L148" s="24">
        <f t="shared" si="147"/>
        <v>9</v>
      </c>
      <c r="M148" s="24">
        <f t="shared" si="147"/>
        <v>12</v>
      </c>
      <c r="N148" s="24">
        <f t="shared" si="147"/>
        <v>13</v>
      </c>
      <c r="O148" s="24">
        <f t="shared" si="147"/>
        <v>14</v>
      </c>
      <c r="P148" s="24">
        <f t="shared" si="147"/>
        <v>15</v>
      </c>
      <c r="Q148" s="24">
        <f t="shared" si="147"/>
        <v>17</v>
      </c>
      <c r="R148" s="24">
        <f t="shared" si="147"/>
        <v>19</v>
      </c>
      <c r="S148" s="22">
        <v>19</v>
      </c>
      <c r="T148" s="24"/>
      <c r="U148" s="24"/>
      <c r="V148" s="24"/>
      <c r="W148" s="24"/>
      <c r="X148" s="24"/>
      <c r="Y148" s="24"/>
      <c r="Z148" s="24"/>
      <c r="AA148" s="89"/>
      <c r="AB148" s="89"/>
      <c r="AC148" s="89"/>
      <c r="AD148" s="89"/>
    </row>
    <row r="149" spans="1:30" s="25" customFormat="1" ht="29.25" customHeight="1" x14ac:dyDescent="0.2">
      <c r="A149" s="83"/>
      <c r="B149" s="113" t="s">
        <v>181</v>
      </c>
      <c r="C149" s="114"/>
      <c r="D149" s="114"/>
      <c r="E149" s="115"/>
      <c r="F149" s="42"/>
      <c r="G149" s="69">
        <v>1</v>
      </c>
      <c r="H149" s="69">
        <v>1</v>
      </c>
      <c r="I149" s="69">
        <v>1</v>
      </c>
      <c r="J149" s="69">
        <v>1</v>
      </c>
      <c r="K149" s="69">
        <v>1</v>
      </c>
      <c r="L149" s="69">
        <v>1</v>
      </c>
      <c r="M149" s="69">
        <v>1</v>
      </c>
      <c r="N149" s="69">
        <v>1</v>
      </c>
      <c r="O149" s="69">
        <v>1</v>
      </c>
      <c r="P149" s="69">
        <v>1</v>
      </c>
      <c r="Q149" s="69">
        <v>1</v>
      </c>
      <c r="R149" s="69">
        <v>1</v>
      </c>
      <c r="S149" s="22">
        <f>SUM(G149:R149)</f>
        <v>12</v>
      </c>
      <c r="T149" s="24"/>
      <c r="U149" s="24"/>
      <c r="V149" s="24"/>
      <c r="W149" s="24"/>
      <c r="X149" s="24"/>
      <c r="Y149" s="24"/>
      <c r="Z149" s="24"/>
      <c r="AA149" s="89"/>
      <c r="AB149" s="89"/>
      <c r="AC149" s="89"/>
      <c r="AD149" s="89"/>
    </row>
    <row r="150" spans="1:30" s="25" customFormat="1" ht="29" customHeight="1" x14ac:dyDescent="0.2">
      <c r="A150" s="83"/>
      <c r="B150" s="116" t="s">
        <v>160</v>
      </c>
      <c r="C150" s="117"/>
      <c r="D150" s="117"/>
      <c r="E150" s="118"/>
      <c r="F150" s="42"/>
      <c r="G150" s="24"/>
      <c r="H150" s="24"/>
      <c r="I150" s="24"/>
      <c r="J150" s="24"/>
      <c r="K150" s="24"/>
      <c r="L150" s="69">
        <v>1</v>
      </c>
      <c r="M150" s="69">
        <v>1</v>
      </c>
      <c r="N150" s="24"/>
      <c r="O150" s="24"/>
      <c r="P150" s="24"/>
      <c r="Q150" s="69">
        <v>1</v>
      </c>
      <c r="R150" s="69">
        <v>1</v>
      </c>
      <c r="S150" s="22">
        <f>SUM(G150:R150)</f>
        <v>4</v>
      </c>
      <c r="T150" s="24"/>
      <c r="U150" s="24"/>
      <c r="V150" s="24"/>
      <c r="W150" s="24"/>
      <c r="X150" s="24"/>
      <c r="Y150" s="24"/>
      <c r="Z150" s="24"/>
      <c r="AA150" s="89"/>
      <c r="AB150" s="89"/>
      <c r="AC150" s="89"/>
      <c r="AD150" s="89"/>
    </row>
    <row r="151" spans="1:30" s="25" customFormat="1" x14ac:dyDescent="0.2">
      <c r="A151" s="83"/>
      <c r="B151" s="113" t="s">
        <v>182</v>
      </c>
      <c r="C151" s="114"/>
      <c r="D151" s="114"/>
      <c r="E151" s="115"/>
      <c r="F151" s="42"/>
      <c r="G151" s="24"/>
      <c r="H151" s="24"/>
      <c r="I151" s="24"/>
      <c r="J151" s="24"/>
      <c r="K151" s="69">
        <v>1</v>
      </c>
      <c r="L151" s="69">
        <v>1</v>
      </c>
      <c r="M151" s="69">
        <v>1</v>
      </c>
      <c r="N151" s="24"/>
      <c r="O151" s="24"/>
      <c r="P151" s="24"/>
      <c r="Q151" s="24"/>
      <c r="R151" s="24"/>
      <c r="S151" s="22">
        <f t="shared" si="142"/>
        <v>3</v>
      </c>
      <c r="T151" s="24"/>
      <c r="U151" s="24"/>
      <c r="V151" s="24"/>
      <c r="W151" s="24"/>
      <c r="X151" s="24"/>
      <c r="Y151" s="24"/>
      <c r="Z151" s="24"/>
      <c r="AA151" s="89"/>
      <c r="AB151" s="89"/>
      <c r="AC151" s="89"/>
      <c r="AD151" s="89"/>
    </row>
    <row r="152" spans="1:30" s="25" customFormat="1" ht="24.75" customHeight="1" x14ac:dyDescent="0.4">
      <c r="A152" s="83"/>
      <c r="B152" s="85" t="s">
        <v>183</v>
      </c>
      <c r="C152" s="85"/>
      <c r="D152" s="85"/>
      <c r="E152" s="85"/>
      <c r="F152" s="39"/>
      <c r="G152" s="24"/>
      <c r="H152" s="24"/>
      <c r="I152" s="24"/>
      <c r="J152" s="24"/>
      <c r="K152" s="24"/>
      <c r="L152" s="68">
        <f>(L153*100)/$S$153</f>
        <v>33.333333333333336</v>
      </c>
      <c r="M152" s="68">
        <f>(M153*100)/$S$153</f>
        <v>66.666666666666671</v>
      </c>
      <c r="N152" s="68">
        <f>(N153*100)/$S$153</f>
        <v>100</v>
      </c>
      <c r="O152" s="35">
        <v>100</v>
      </c>
      <c r="P152" s="35">
        <v>100</v>
      </c>
      <c r="Q152" s="35">
        <v>100</v>
      </c>
      <c r="R152" s="35">
        <v>100</v>
      </c>
      <c r="S152" s="22"/>
      <c r="T152" s="24"/>
      <c r="U152" s="24"/>
      <c r="V152" s="24"/>
      <c r="W152" s="24"/>
      <c r="X152" s="24"/>
      <c r="Y152" s="24"/>
      <c r="Z152" s="24"/>
      <c r="AA152" s="123"/>
      <c r="AB152" s="127"/>
      <c r="AC152" s="88"/>
      <c r="AD152" s="88"/>
    </row>
    <row r="153" spans="1:30" s="25" customFormat="1" ht="23.25" hidden="1" customHeight="1" x14ac:dyDescent="0.2">
      <c r="A153" s="83"/>
      <c r="B153" s="20"/>
      <c r="C153" s="20"/>
      <c r="D153" s="20"/>
      <c r="E153" s="20"/>
      <c r="F153" s="39"/>
      <c r="G153" s="24"/>
      <c r="H153" s="24"/>
      <c r="I153" s="24"/>
      <c r="J153" s="24"/>
      <c r="K153" s="24"/>
      <c r="L153" s="24">
        <f>SUM(L154:L155)</f>
        <v>2</v>
      </c>
      <c r="M153" s="24">
        <f>L153+SUM(M154:M155)</f>
        <v>4</v>
      </c>
      <c r="N153" s="24">
        <f>M153+SUM(N154:N155)</f>
        <v>6</v>
      </c>
      <c r="O153" s="35"/>
      <c r="P153" s="35"/>
      <c r="Q153" s="35"/>
      <c r="R153" s="35"/>
      <c r="S153" s="22">
        <v>6</v>
      </c>
      <c r="T153" s="24"/>
      <c r="U153" s="24"/>
      <c r="V153" s="24"/>
      <c r="W153" s="24"/>
      <c r="X153" s="24"/>
      <c r="Y153" s="24"/>
      <c r="Z153" s="24"/>
      <c r="AA153" s="123"/>
      <c r="AB153" s="128"/>
      <c r="AC153" s="89"/>
      <c r="AD153" s="89"/>
    </row>
    <row r="154" spans="1:30" s="25" customFormat="1" ht="23.25" customHeight="1" x14ac:dyDescent="0.2">
      <c r="A154" s="83"/>
      <c r="B154" s="116" t="s">
        <v>184</v>
      </c>
      <c r="C154" s="117"/>
      <c r="D154" s="117"/>
      <c r="E154" s="118"/>
      <c r="F154" s="42"/>
      <c r="G154" s="24"/>
      <c r="H154" s="24"/>
      <c r="I154" s="24"/>
      <c r="J154" s="24"/>
      <c r="K154" s="24"/>
      <c r="L154" s="69">
        <v>1</v>
      </c>
      <c r="M154" s="69">
        <v>1</v>
      </c>
      <c r="N154" s="69">
        <v>1</v>
      </c>
      <c r="O154" s="35"/>
      <c r="P154" s="35"/>
      <c r="Q154" s="35"/>
      <c r="R154" s="35"/>
      <c r="S154" s="22">
        <f t="shared" si="142"/>
        <v>3</v>
      </c>
      <c r="T154" s="24"/>
      <c r="U154" s="24"/>
      <c r="V154" s="24"/>
      <c r="W154" s="24"/>
      <c r="X154" s="24"/>
      <c r="Y154" s="24"/>
      <c r="Z154" s="24"/>
      <c r="AA154" s="123"/>
      <c r="AB154" s="128"/>
      <c r="AC154" s="89"/>
      <c r="AD154" s="89"/>
    </row>
    <row r="155" spans="1:30" s="25" customFormat="1" x14ac:dyDescent="0.2">
      <c r="A155" s="83"/>
      <c r="B155" s="113" t="s">
        <v>185</v>
      </c>
      <c r="C155" s="114"/>
      <c r="D155" s="114"/>
      <c r="E155" s="115"/>
      <c r="F155" s="39"/>
      <c r="G155" s="24"/>
      <c r="H155" s="24"/>
      <c r="I155" s="24"/>
      <c r="J155" s="24"/>
      <c r="K155" s="24"/>
      <c r="L155" s="69">
        <v>1</v>
      </c>
      <c r="M155" s="69">
        <v>1</v>
      </c>
      <c r="N155" s="69">
        <v>1</v>
      </c>
      <c r="O155" s="35"/>
      <c r="P155" s="35"/>
      <c r="Q155" s="35"/>
      <c r="R155" s="35"/>
      <c r="S155" s="22">
        <f t="shared" si="142"/>
        <v>3</v>
      </c>
      <c r="T155" s="24"/>
      <c r="U155" s="24"/>
      <c r="V155" s="24"/>
      <c r="W155" s="24"/>
      <c r="X155" s="24"/>
      <c r="Y155" s="24"/>
      <c r="Z155" s="24"/>
      <c r="AA155" s="123"/>
      <c r="AB155" s="128"/>
      <c r="AC155" s="89"/>
      <c r="AD155" s="89"/>
    </row>
    <row r="156" spans="1:30" s="25" customFormat="1" ht="24" customHeight="1" x14ac:dyDescent="0.4">
      <c r="A156" s="83"/>
      <c r="B156" s="85" t="s">
        <v>186</v>
      </c>
      <c r="C156" s="85"/>
      <c r="D156" s="85"/>
      <c r="E156" s="85"/>
      <c r="F156" s="39"/>
      <c r="G156" s="24"/>
      <c r="H156" s="24"/>
      <c r="I156" s="24"/>
      <c r="J156" s="24"/>
      <c r="K156" s="24"/>
      <c r="L156" s="24"/>
      <c r="M156" s="68">
        <f>(M157*100)/$S$157</f>
        <v>20</v>
      </c>
      <c r="N156" s="68">
        <f>(N157*100)/$S$157</f>
        <v>40</v>
      </c>
      <c r="O156" s="68">
        <f>(O157*100)/$S$157</f>
        <v>80</v>
      </c>
      <c r="P156" s="68">
        <f>(P157*100)/$S$157</f>
        <v>100</v>
      </c>
      <c r="Q156" s="35">
        <v>100</v>
      </c>
      <c r="R156" s="35">
        <v>100</v>
      </c>
      <c r="S156" s="22"/>
      <c r="T156" s="24"/>
      <c r="U156" s="24"/>
      <c r="V156" s="24"/>
      <c r="W156" s="24"/>
      <c r="X156" s="24"/>
      <c r="Y156" s="24"/>
      <c r="Z156" s="24"/>
      <c r="AA156" s="123"/>
      <c r="AB156" s="127"/>
      <c r="AC156" s="127"/>
      <c r="AD156" s="88"/>
    </row>
    <row r="157" spans="1:30" s="25" customFormat="1" ht="23.25" hidden="1" customHeight="1" x14ac:dyDescent="0.2">
      <c r="A157" s="83"/>
      <c r="B157" s="20"/>
      <c r="C157" s="20"/>
      <c r="D157" s="20"/>
      <c r="E157" s="20"/>
      <c r="F157" s="39"/>
      <c r="G157" s="24"/>
      <c r="H157" s="24"/>
      <c r="I157" s="24"/>
      <c r="J157" s="24"/>
      <c r="K157" s="24"/>
      <c r="L157" s="24"/>
      <c r="M157" s="40">
        <f>SUM(M158:M159)</f>
        <v>1</v>
      </c>
      <c r="N157" s="40">
        <f>M157+SUM(N158:N159)</f>
        <v>2</v>
      </c>
      <c r="O157" s="40">
        <f>N157+SUM(O158:O159)</f>
        <v>4</v>
      </c>
      <c r="P157" s="40">
        <f>O157+SUM(P158:P159)</f>
        <v>5</v>
      </c>
      <c r="Q157" s="35"/>
      <c r="R157" s="35"/>
      <c r="S157" s="22">
        <v>5</v>
      </c>
      <c r="T157" s="24"/>
      <c r="U157" s="24"/>
      <c r="V157" s="24"/>
      <c r="W157" s="24"/>
      <c r="X157" s="24"/>
      <c r="Y157" s="24"/>
      <c r="Z157" s="24"/>
      <c r="AA157" s="123"/>
      <c r="AB157" s="128"/>
      <c r="AC157" s="128"/>
      <c r="AD157" s="89"/>
    </row>
    <row r="158" spans="1:30" s="25" customFormat="1" x14ac:dyDescent="0.2">
      <c r="A158" s="83"/>
      <c r="B158" s="116" t="s">
        <v>187</v>
      </c>
      <c r="C158" s="117"/>
      <c r="D158" s="117"/>
      <c r="E158" s="118"/>
      <c r="F158" s="39"/>
      <c r="G158" s="24"/>
      <c r="H158" s="24"/>
      <c r="I158" s="24"/>
      <c r="J158" s="24"/>
      <c r="K158" s="24"/>
      <c r="L158" s="24"/>
      <c r="M158" s="69">
        <v>1</v>
      </c>
      <c r="N158" s="69">
        <v>1</v>
      </c>
      <c r="O158" s="69">
        <v>1</v>
      </c>
      <c r="P158" s="24"/>
      <c r="Q158" s="35"/>
      <c r="R158" s="35"/>
      <c r="S158" s="22">
        <f t="shared" si="142"/>
        <v>3</v>
      </c>
      <c r="T158" s="24"/>
      <c r="U158" s="24"/>
      <c r="V158" s="24"/>
      <c r="W158" s="24"/>
      <c r="X158" s="24"/>
      <c r="Y158" s="24"/>
      <c r="Z158" s="24"/>
      <c r="AA158" s="123"/>
      <c r="AB158" s="128"/>
      <c r="AC158" s="128"/>
      <c r="AD158" s="89"/>
    </row>
    <row r="159" spans="1:30" s="25" customFormat="1" x14ac:dyDescent="0.2">
      <c r="A159" s="83"/>
      <c r="B159" s="116" t="s">
        <v>188</v>
      </c>
      <c r="C159" s="117"/>
      <c r="D159" s="117"/>
      <c r="E159" s="118"/>
      <c r="F159" s="39"/>
      <c r="G159" s="24"/>
      <c r="H159" s="24"/>
      <c r="I159" s="24"/>
      <c r="J159" s="24"/>
      <c r="K159" s="24"/>
      <c r="L159" s="24"/>
      <c r="M159" s="24"/>
      <c r="N159" s="24"/>
      <c r="O159" s="69">
        <v>1</v>
      </c>
      <c r="P159" s="69">
        <v>1</v>
      </c>
      <c r="Q159" s="35"/>
      <c r="R159" s="35"/>
      <c r="S159" s="22">
        <f t="shared" si="142"/>
        <v>2</v>
      </c>
      <c r="T159" s="24"/>
      <c r="U159" s="24"/>
      <c r="V159" s="24"/>
      <c r="W159" s="24"/>
      <c r="X159" s="24"/>
      <c r="Y159" s="24"/>
      <c r="Z159" s="24"/>
      <c r="AA159" s="123"/>
      <c r="AB159" s="128"/>
      <c r="AC159" s="128"/>
      <c r="AD159" s="89"/>
    </row>
    <row r="160" spans="1:30" s="25" customFormat="1" ht="29.25" customHeight="1" x14ac:dyDescent="0.4">
      <c r="A160" s="83"/>
      <c r="B160" s="85" t="s">
        <v>189</v>
      </c>
      <c r="C160" s="85"/>
      <c r="D160" s="85"/>
      <c r="E160" s="85"/>
      <c r="F160" s="39" t="s">
        <v>190</v>
      </c>
      <c r="G160" s="24"/>
      <c r="H160" s="24"/>
      <c r="I160" s="24"/>
      <c r="J160" s="24"/>
      <c r="K160" s="24"/>
      <c r="L160" s="24"/>
      <c r="M160" s="24"/>
      <c r="N160" s="68">
        <f>(N161*100)/$S$161</f>
        <v>14.285714285714286</v>
      </c>
      <c r="O160" s="68">
        <f>(O161*100)/$S$161</f>
        <v>42.857142857142854</v>
      </c>
      <c r="P160" s="68">
        <f>(P161*100)/$S$161</f>
        <v>71.428571428571431</v>
      </c>
      <c r="Q160" s="68">
        <f>(Q161*100)/$S$161</f>
        <v>100</v>
      </c>
      <c r="R160" s="35">
        <v>100</v>
      </c>
      <c r="S160" s="22"/>
      <c r="T160" s="24"/>
      <c r="U160" s="24"/>
      <c r="V160" s="24"/>
      <c r="W160" s="24"/>
      <c r="X160" s="24"/>
      <c r="Y160" s="24"/>
      <c r="Z160" s="24"/>
      <c r="AA160" s="123"/>
      <c r="AB160" s="123"/>
      <c r="AC160" s="88"/>
      <c r="AD160" s="88"/>
    </row>
    <row r="161" spans="1:30" s="25" customFormat="1" ht="23.25" hidden="1" customHeight="1" x14ac:dyDescent="0.2">
      <c r="A161" s="83"/>
      <c r="B161" s="20"/>
      <c r="C161" s="20"/>
      <c r="D161" s="20"/>
      <c r="E161" s="20"/>
      <c r="F161" s="39"/>
      <c r="G161" s="24"/>
      <c r="H161" s="24"/>
      <c r="I161" s="24"/>
      <c r="J161" s="24"/>
      <c r="K161" s="24"/>
      <c r="L161" s="24"/>
      <c r="M161" s="24"/>
      <c r="N161" s="40">
        <f>SUM(N162:N163)</f>
        <v>1</v>
      </c>
      <c r="O161" s="40">
        <f>N161+SUM(O162:O163)</f>
        <v>3</v>
      </c>
      <c r="P161" s="40">
        <f>O161+SUM(P162:P163)</f>
        <v>5</v>
      </c>
      <c r="Q161" s="40">
        <f>P161+SUM(Q162:Q163)</f>
        <v>7</v>
      </c>
      <c r="R161" s="24"/>
      <c r="S161" s="22">
        <v>7</v>
      </c>
      <c r="T161" s="24"/>
      <c r="U161" s="24"/>
      <c r="V161" s="24"/>
      <c r="W161" s="24"/>
      <c r="X161" s="24"/>
      <c r="Y161" s="24"/>
      <c r="Z161" s="24"/>
      <c r="AA161" s="123"/>
      <c r="AB161" s="123"/>
      <c r="AC161" s="89"/>
      <c r="AD161" s="89"/>
    </row>
    <row r="162" spans="1:30" s="25" customFormat="1" x14ac:dyDescent="0.2">
      <c r="A162" s="83"/>
      <c r="B162" s="116" t="s">
        <v>191</v>
      </c>
      <c r="C162" s="117"/>
      <c r="D162" s="117"/>
      <c r="E162" s="118"/>
      <c r="F162" s="39"/>
      <c r="G162" s="24"/>
      <c r="H162" s="24"/>
      <c r="I162" s="24"/>
      <c r="J162" s="24"/>
      <c r="K162" s="24"/>
      <c r="L162" s="24"/>
      <c r="M162" s="24"/>
      <c r="N162" s="24"/>
      <c r="O162" s="69">
        <v>1</v>
      </c>
      <c r="P162" s="69">
        <v>1</v>
      </c>
      <c r="Q162" s="69">
        <v>1</v>
      </c>
      <c r="R162" s="24"/>
      <c r="S162" s="22">
        <f t="shared" si="142"/>
        <v>3</v>
      </c>
      <c r="T162" s="24"/>
      <c r="U162" s="24"/>
      <c r="V162" s="24"/>
      <c r="W162" s="24"/>
      <c r="X162" s="24"/>
      <c r="Y162" s="24"/>
      <c r="Z162" s="24"/>
      <c r="AA162" s="123"/>
      <c r="AB162" s="123"/>
      <c r="AC162" s="89"/>
      <c r="AD162" s="89"/>
    </row>
    <row r="163" spans="1:30" s="25" customFormat="1" x14ac:dyDescent="0.2">
      <c r="A163" s="83"/>
      <c r="B163" s="113" t="s">
        <v>192</v>
      </c>
      <c r="C163" s="114"/>
      <c r="D163" s="114"/>
      <c r="E163" s="115"/>
      <c r="F163" s="39"/>
      <c r="G163" s="24"/>
      <c r="H163" s="24"/>
      <c r="I163" s="24"/>
      <c r="J163" s="24"/>
      <c r="K163" s="24"/>
      <c r="L163" s="24"/>
      <c r="M163" s="24"/>
      <c r="N163" s="69">
        <v>1</v>
      </c>
      <c r="O163" s="69">
        <v>1</v>
      </c>
      <c r="P163" s="69">
        <v>1</v>
      </c>
      <c r="Q163" s="69">
        <v>1</v>
      </c>
      <c r="R163" s="24"/>
      <c r="S163" s="22">
        <f t="shared" si="142"/>
        <v>4</v>
      </c>
      <c r="T163" s="24"/>
      <c r="U163" s="24"/>
      <c r="V163" s="24"/>
      <c r="W163" s="24"/>
      <c r="X163" s="24"/>
      <c r="Y163" s="24"/>
      <c r="Z163" s="24"/>
      <c r="AA163" s="123"/>
      <c r="AB163" s="123"/>
      <c r="AC163" s="89"/>
      <c r="AD163" s="89"/>
    </row>
    <row r="164" spans="1:30" s="25" customFormat="1" ht="24.75" customHeight="1" x14ac:dyDescent="0.4">
      <c r="A164" s="83"/>
      <c r="B164" s="85" t="s">
        <v>193</v>
      </c>
      <c r="C164" s="85"/>
      <c r="D164" s="85"/>
      <c r="E164" s="85"/>
      <c r="F164" s="43"/>
      <c r="G164" s="24"/>
      <c r="H164" s="24"/>
      <c r="I164" s="24"/>
      <c r="J164" s="24"/>
      <c r="K164" s="24"/>
      <c r="L164" s="24"/>
      <c r="M164" s="24"/>
      <c r="N164" s="68">
        <f>(N165*100)/$S$165</f>
        <v>25</v>
      </c>
      <c r="O164" s="68">
        <f>(O165*100)/$S$165</f>
        <v>50</v>
      </c>
      <c r="P164" s="68">
        <f>(P165*100)/$S$165</f>
        <v>75</v>
      </c>
      <c r="Q164" s="68">
        <f>(Q165*100)/$S$165</f>
        <v>100</v>
      </c>
      <c r="R164" s="35">
        <v>100</v>
      </c>
      <c r="S164" s="22"/>
      <c r="T164" s="24"/>
      <c r="U164" s="24"/>
      <c r="V164" s="24"/>
      <c r="W164" s="24"/>
      <c r="X164" s="24"/>
      <c r="Y164" s="24"/>
      <c r="Z164" s="24"/>
      <c r="AA164" s="123"/>
      <c r="AB164" s="123"/>
      <c r="AC164" s="127"/>
      <c r="AD164" s="88"/>
    </row>
    <row r="165" spans="1:30" s="25" customFormat="1" ht="23.25" hidden="1" customHeight="1" x14ac:dyDescent="0.2">
      <c r="A165" s="83"/>
      <c r="B165" s="20"/>
      <c r="C165" s="20"/>
      <c r="D165" s="20"/>
      <c r="E165" s="20"/>
      <c r="F165" s="43"/>
      <c r="G165" s="24"/>
      <c r="H165" s="24"/>
      <c r="I165" s="24"/>
      <c r="J165" s="24"/>
      <c r="K165" s="24"/>
      <c r="L165" s="24"/>
      <c r="M165" s="24"/>
      <c r="N165" s="40">
        <f>SUM(N166)</f>
        <v>1</v>
      </c>
      <c r="O165" s="40">
        <f>N165+SUM(O166)</f>
        <v>2</v>
      </c>
      <c r="P165" s="40">
        <f>O165+SUM(P166)</f>
        <v>3</v>
      </c>
      <c r="Q165" s="40">
        <f>P165+SUM(Q166)</f>
        <v>4</v>
      </c>
      <c r="R165" s="24"/>
      <c r="S165" s="22">
        <v>4</v>
      </c>
      <c r="T165" s="24"/>
      <c r="U165" s="24"/>
      <c r="V165" s="24"/>
      <c r="W165" s="24"/>
      <c r="X165" s="24"/>
      <c r="Y165" s="24"/>
      <c r="Z165" s="24"/>
      <c r="AA165" s="123"/>
      <c r="AB165" s="123"/>
      <c r="AC165" s="128"/>
      <c r="AD165" s="89"/>
    </row>
    <row r="166" spans="1:30" s="25" customFormat="1" ht="29" customHeight="1" x14ac:dyDescent="0.2">
      <c r="A166" s="83"/>
      <c r="B166" s="116" t="s">
        <v>194</v>
      </c>
      <c r="C166" s="117"/>
      <c r="D166" s="117"/>
      <c r="E166" s="118"/>
      <c r="F166" s="43"/>
      <c r="G166" s="24"/>
      <c r="H166" s="24"/>
      <c r="I166" s="24"/>
      <c r="J166" s="24"/>
      <c r="K166" s="24"/>
      <c r="L166" s="24"/>
      <c r="M166" s="24"/>
      <c r="N166" s="69">
        <v>1</v>
      </c>
      <c r="O166" s="69">
        <v>1</v>
      </c>
      <c r="P166" s="69">
        <v>1</v>
      </c>
      <c r="Q166" s="69">
        <v>1</v>
      </c>
      <c r="R166" s="24"/>
      <c r="S166" s="22">
        <f t="shared" si="142"/>
        <v>4</v>
      </c>
      <c r="T166" s="24"/>
      <c r="U166" s="24"/>
      <c r="V166" s="24"/>
      <c r="W166" s="24"/>
      <c r="X166" s="24"/>
      <c r="Y166" s="24"/>
      <c r="Z166" s="24"/>
      <c r="AA166" s="123"/>
      <c r="AB166" s="123"/>
      <c r="AC166" s="132"/>
      <c r="AD166" s="133"/>
    </row>
    <row r="167" spans="1:30" s="25" customFormat="1" ht="25.5" customHeight="1" x14ac:dyDescent="0.2">
      <c r="A167" s="83"/>
      <c r="B167" s="85" t="s">
        <v>195</v>
      </c>
      <c r="C167" s="85"/>
      <c r="D167" s="85"/>
      <c r="E167" s="85"/>
      <c r="F167" s="43"/>
      <c r="G167" s="67">
        <f t="shared" ref="G167:R167" si="148">(G168*100)/$S$168</f>
        <v>7.1428571428571432</v>
      </c>
      <c r="H167" s="67">
        <f t="shared" si="148"/>
        <v>14.285714285714286</v>
      </c>
      <c r="I167" s="67">
        <f t="shared" si="148"/>
        <v>21.428571428571427</v>
      </c>
      <c r="J167" s="67">
        <f t="shared" si="148"/>
        <v>32.142857142857146</v>
      </c>
      <c r="K167" s="67">
        <f t="shared" si="148"/>
        <v>39.285714285714285</v>
      </c>
      <c r="L167" s="67">
        <f t="shared" si="148"/>
        <v>46.428571428571431</v>
      </c>
      <c r="M167" s="67">
        <f t="shared" si="148"/>
        <v>57.142857142857146</v>
      </c>
      <c r="N167" s="67">
        <f t="shared" si="148"/>
        <v>64.285714285714292</v>
      </c>
      <c r="O167" s="67">
        <f t="shared" si="148"/>
        <v>71.428571428571431</v>
      </c>
      <c r="P167" s="67">
        <f t="shared" si="148"/>
        <v>82.142857142857139</v>
      </c>
      <c r="Q167" s="67">
        <f t="shared" si="148"/>
        <v>89.285714285714292</v>
      </c>
      <c r="R167" s="67">
        <f t="shared" si="148"/>
        <v>100</v>
      </c>
      <c r="S167" s="22"/>
      <c r="T167" s="24"/>
      <c r="U167" s="24"/>
      <c r="V167" s="24"/>
      <c r="W167" s="24"/>
      <c r="X167" s="24"/>
      <c r="Y167" s="24"/>
      <c r="Z167" s="24"/>
      <c r="AA167" s="88"/>
      <c r="AB167" s="88"/>
      <c r="AC167" s="88"/>
      <c r="AD167" s="88"/>
    </row>
    <row r="168" spans="1:30" s="25" customFormat="1" ht="23.25" hidden="1" customHeight="1" x14ac:dyDescent="0.2">
      <c r="A168" s="83"/>
      <c r="B168" s="20"/>
      <c r="C168" s="20"/>
      <c r="D168" s="20"/>
      <c r="E168" s="20"/>
      <c r="F168" s="43"/>
      <c r="G168" s="24">
        <f>SUM(G169:G171)</f>
        <v>2</v>
      </c>
      <c r="H168" s="24">
        <f t="shared" ref="H168:R168" si="149">G168+SUM(H169:H171)</f>
        <v>4</v>
      </c>
      <c r="I168" s="24">
        <f t="shared" si="149"/>
        <v>6</v>
      </c>
      <c r="J168" s="24">
        <f t="shared" si="149"/>
        <v>9</v>
      </c>
      <c r="K168" s="24">
        <f t="shared" si="149"/>
        <v>11</v>
      </c>
      <c r="L168" s="24">
        <f t="shared" si="149"/>
        <v>13</v>
      </c>
      <c r="M168" s="24">
        <f t="shared" si="149"/>
        <v>16</v>
      </c>
      <c r="N168" s="24">
        <f t="shared" si="149"/>
        <v>18</v>
      </c>
      <c r="O168" s="24">
        <f t="shared" si="149"/>
        <v>20</v>
      </c>
      <c r="P168" s="24">
        <f t="shared" si="149"/>
        <v>23</v>
      </c>
      <c r="Q168" s="24">
        <f t="shared" si="149"/>
        <v>25</v>
      </c>
      <c r="R168" s="24">
        <f t="shared" si="149"/>
        <v>28</v>
      </c>
      <c r="S168" s="22">
        <v>28</v>
      </c>
      <c r="T168" s="24"/>
      <c r="U168" s="24"/>
      <c r="V168" s="24"/>
      <c r="W168" s="24"/>
      <c r="X168" s="24"/>
      <c r="Y168" s="24"/>
      <c r="Z168" s="24"/>
      <c r="AA168" s="89"/>
      <c r="AB168" s="89"/>
      <c r="AC168" s="89"/>
      <c r="AD168" s="89"/>
    </row>
    <row r="169" spans="1:30" s="25" customFormat="1" ht="27" customHeight="1" x14ac:dyDescent="0.2">
      <c r="A169" s="83"/>
      <c r="B169" s="124" t="s">
        <v>197</v>
      </c>
      <c r="C169" s="125"/>
      <c r="D169" s="125"/>
      <c r="E169" s="126"/>
      <c r="F169" s="43"/>
      <c r="G169" s="69">
        <v>1</v>
      </c>
      <c r="H169" s="69">
        <v>1</v>
      </c>
      <c r="I169" s="69">
        <v>1</v>
      </c>
      <c r="J169" s="69">
        <v>1</v>
      </c>
      <c r="K169" s="69">
        <v>1</v>
      </c>
      <c r="L169" s="69">
        <v>1</v>
      </c>
      <c r="M169" s="69">
        <v>1</v>
      </c>
      <c r="N169" s="69">
        <v>1</v>
      </c>
      <c r="O169" s="69">
        <v>1</v>
      </c>
      <c r="P169" s="69">
        <v>1</v>
      </c>
      <c r="Q169" s="69">
        <v>1</v>
      </c>
      <c r="R169" s="69">
        <v>1</v>
      </c>
      <c r="S169" s="22">
        <f t="shared" si="142"/>
        <v>12</v>
      </c>
      <c r="T169" s="24"/>
      <c r="U169" s="24"/>
      <c r="V169" s="24"/>
      <c r="W169" s="24"/>
      <c r="X169" s="24"/>
      <c r="Y169" s="24"/>
      <c r="Z169" s="24"/>
      <c r="AA169" s="89"/>
      <c r="AB169" s="89"/>
      <c r="AC169" s="89"/>
      <c r="AD169" s="89"/>
    </row>
    <row r="170" spans="1:30" s="25" customFormat="1" ht="24" customHeight="1" x14ac:dyDescent="0.2">
      <c r="A170" s="83"/>
      <c r="B170" s="129" t="s">
        <v>198</v>
      </c>
      <c r="C170" s="130"/>
      <c r="D170" s="130"/>
      <c r="E170" s="131"/>
      <c r="F170" s="43"/>
      <c r="G170" s="69">
        <v>1</v>
      </c>
      <c r="H170" s="69">
        <v>1</v>
      </c>
      <c r="I170" s="69">
        <v>1</v>
      </c>
      <c r="J170" s="69">
        <v>1</v>
      </c>
      <c r="K170" s="69">
        <v>1</v>
      </c>
      <c r="L170" s="69">
        <v>1</v>
      </c>
      <c r="M170" s="69">
        <v>1</v>
      </c>
      <c r="N170" s="69">
        <v>1</v>
      </c>
      <c r="O170" s="69">
        <v>1</v>
      </c>
      <c r="P170" s="69">
        <v>1</v>
      </c>
      <c r="Q170" s="69">
        <v>1</v>
      </c>
      <c r="R170" s="69">
        <v>1</v>
      </c>
      <c r="S170" s="22">
        <f t="shared" si="142"/>
        <v>12</v>
      </c>
      <c r="T170" s="24"/>
      <c r="U170" s="24"/>
      <c r="V170" s="24"/>
      <c r="W170" s="24"/>
      <c r="X170" s="24"/>
      <c r="Y170" s="24"/>
      <c r="Z170" s="24"/>
      <c r="AA170" s="89"/>
      <c r="AB170" s="89"/>
      <c r="AC170" s="89"/>
      <c r="AD170" s="89"/>
    </row>
    <row r="171" spans="1:30" s="25" customFormat="1" ht="26" customHeight="1" x14ac:dyDescent="0.2">
      <c r="A171" s="83"/>
      <c r="B171" s="124" t="s">
        <v>199</v>
      </c>
      <c r="C171" s="125"/>
      <c r="D171" s="125"/>
      <c r="E171" s="126"/>
      <c r="F171" s="43"/>
      <c r="G171" s="24"/>
      <c r="H171" s="24"/>
      <c r="I171" s="24"/>
      <c r="J171" s="69">
        <v>1</v>
      </c>
      <c r="K171" s="24"/>
      <c r="L171" s="24"/>
      <c r="M171" s="69">
        <v>1</v>
      </c>
      <c r="N171" s="24"/>
      <c r="O171" s="24"/>
      <c r="P171" s="69">
        <v>1</v>
      </c>
      <c r="Q171" s="24"/>
      <c r="R171" s="69">
        <v>1</v>
      </c>
      <c r="S171" s="22">
        <f t="shared" si="142"/>
        <v>4</v>
      </c>
      <c r="T171" s="24"/>
      <c r="U171" s="24"/>
      <c r="V171" s="24"/>
      <c r="W171" s="24"/>
      <c r="X171" s="24"/>
      <c r="Y171" s="24"/>
      <c r="Z171" s="24"/>
      <c r="AA171" s="89"/>
      <c r="AB171" s="89"/>
      <c r="AC171" s="89"/>
      <c r="AD171" s="89"/>
    </row>
    <row r="172" spans="1:30" s="25" customFormat="1" ht="30" customHeight="1" x14ac:dyDescent="0.4">
      <c r="A172" s="83"/>
      <c r="B172" s="104" t="s">
        <v>200</v>
      </c>
      <c r="C172" s="105"/>
      <c r="D172" s="105"/>
      <c r="E172" s="106"/>
      <c r="F172" s="24" t="s">
        <v>201</v>
      </c>
      <c r="G172" s="68">
        <f t="shared" ref="G172:R172" si="150">(G173*100)/$S$173</f>
        <v>8.3333333333333339</v>
      </c>
      <c r="H172" s="68">
        <f t="shared" si="150"/>
        <v>16.666666666666668</v>
      </c>
      <c r="I172" s="68">
        <f t="shared" si="150"/>
        <v>25</v>
      </c>
      <c r="J172" s="68">
        <f t="shared" si="150"/>
        <v>33.333333333333336</v>
      </c>
      <c r="K172" s="68">
        <f t="shared" si="150"/>
        <v>41.666666666666664</v>
      </c>
      <c r="L172" s="68">
        <f t="shared" si="150"/>
        <v>50</v>
      </c>
      <c r="M172" s="68">
        <f t="shared" si="150"/>
        <v>58.333333333333336</v>
      </c>
      <c r="N172" s="68">
        <f t="shared" si="150"/>
        <v>66.666666666666671</v>
      </c>
      <c r="O172" s="68">
        <f t="shared" si="150"/>
        <v>75</v>
      </c>
      <c r="P172" s="68">
        <f t="shared" si="150"/>
        <v>83.333333333333329</v>
      </c>
      <c r="Q172" s="68">
        <f t="shared" si="150"/>
        <v>91.666666666666671</v>
      </c>
      <c r="R172" s="68">
        <f t="shared" si="150"/>
        <v>100</v>
      </c>
      <c r="S172" s="22"/>
      <c r="T172" s="24"/>
      <c r="U172" s="24"/>
      <c r="V172" s="24"/>
      <c r="W172" s="24"/>
      <c r="X172" s="24"/>
      <c r="Y172" s="24"/>
      <c r="Z172" s="24"/>
      <c r="AA172" s="88"/>
      <c r="AB172" s="88"/>
      <c r="AC172" s="88"/>
      <c r="AD172" s="88"/>
    </row>
    <row r="173" spans="1:30" s="25" customFormat="1" ht="23.25" hidden="1" customHeight="1" x14ac:dyDescent="0.2">
      <c r="A173" s="83"/>
      <c r="B173" s="50"/>
      <c r="C173" s="50"/>
      <c r="D173" s="50"/>
      <c r="E173" s="50"/>
      <c r="F173" s="24"/>
      <c r="G173" s="24">
        <f>SUM(G174)</f>
        <v>1</v>
      </c>
      <c r="H173" s="24">
        <f t="shared" ref="H173:R173" si="151">G173+SUM(H174)</f>
        <v>2</v>
      </c>
      <c r="I173" s="24">
        <f t="shared" si="151"/>
        <v>3</v>
      </c>
      <c r="J173" s="24">
        <f t="shared" si="151"/>
        <v>4</v>
      </c>
      <c r="K173" s="24">
        <f t="shared" si="151"/>
        <v>5</v>
      </c>
      <c r="L173" s="24">
        <f t="shared" si="151"/>
        <v>6</v>
      </c>
      <c r="M173" s="24">
        <f t="shared" si="151"/>
        <v>7</v>
      </c>
      <c r="N173" s="24">
        <f t="shared" si="151"/>
        <v>8</v>
      </c>
      <c r="O173" s="24">
        <f t="shared" si="151"/>
        <v>9</v>
      </c>
      <c r="P173" s="24">
        <f t="shared" si="151"/>
        <v>10</v>
      </c>
      <c r="Q173" s="24">
        <f t="shared" si="151"/>
        <v>11</v>
      </c>
      <c r="R173" s="24">
        <f t="shared" si="151"/>
        <v>12</v>
      </c>
      <c r="S173" s="22">
        <v>12</v>
      </c>
      <c r="T173" s="24"/>
      <c r="U173" s="24"/>
      <c r="V173" s="24"/>
      <c r="W173" s="24"/>
      <c r="X173" s="24"/>
      <c r="Y173" s="24"/>
      <c r="Z173" s="24"/>
      <c r="AA173" s="89"/>
      <c r="AB173" s="89"/>
      <c r="AC173" s="89"/>
      <c r="AD173" s="89"/>
    </row>
    <row r="174" spans="1:30" s="25" customFormat="1" ht="27" customHeight="1" x14ac:dyDescent="0.2">
      <c r="A174" s="83"/>
      <c r="B174" s="124" t="s">
        <v>202</v>
      </c>
      <c r="C174" s="125"/>
      <c r="D174" s="125"/>
      <c r="E174" s="126"/>
      <c r="F174" s="24"/>
      <c r="G174" s="69">
        <v>1</v>
      </c>
      <c r="H174" s="69">
        <v>1</v>
      </c>
      <c r="I174" s="69">
        <v>1</v>
      </c>
      <c r="J174" s="69">
        <v>1</v>
      </c>
      <c r="K174" s="69">
        <v>1</v>
      </c>
      <c r="L174" s="69">
        <v>1</v>
      </c>
      <c r="M174" s="69">
        <v>1</v>
      </c>
      <c r="N174" s="69">
        <v>1</v>
      </c>
      <c r="O174" s="69">
        <v>1</v>
      </c>
      <c r="P174" s="69">
        <v>1</v>
      </c>
      <c r="Q174" s="69">
        <v>1</v>
      </c>
      <c r="R174" s="69">
        <v>1</v>
      </c>
      <c r="S174" s="22">
        <f t="shared" si="142"/>
        <v>12</v>
      </c>
      <c r="T174" s="24"/>
      <c r="U174" s="24"/>
      <c r="V174" s="24"/>
      <c r="W174" s="24"/>
      <c r="X174" s="24"/>
      <c r="Y174" s="24"/>
      <c r="Z174" s="24"/>
      <c r="AA174" s="89"/>
      <c r="AB174" s="89"/>
      <c r="AC174" s="89"/>
      <c r="AD174" s="89"/>
    </row>
    <row r="175" spans="1:30" s="25" customFormat="1" ht="29.25" customHeight="1" x14ac:dyDescent="0.4">
      <c r="A175" s="83"/>
      <c r="B175" s="122" t="s">
        <v>203</v>
      </c>
      <c r="C175" s="122"/>
      <c r="D175" s="122"/>
      <c r="E175" s="122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68">
        <f>(P176*100)/$S$176</f>
        <v>42.857142857142854</v>
      </c>
      <c r="Q175" s="68">
        <f>(Q176*100)/$S$176</f>
        <v>85.714285714285708</v>
      </c>
      <c r="R175" s="68">
        <f>(R176*100)/$S$176</f>
        <v>142.85714285714286</v>
      </c>
      <c r="S175" s="22"/>
      <c r="T175" s="24"/>
      <c r="U175" s="24"/>
      <c r="V175" s="24"/>
      <c r="W175" s="24"/>
      <c r="X175" s="24"/>
      <c r="Y175" s="24"/>
      <c r="Z175" s="24"/>
      <c r="AA175" s="123"/>
      <c r="AB175" s="123"/>
      <c r="AC175" s="123"/>
      <c r="AD175" s="88"/>
    </row>
    <row r="176" spans="1:30" s="25" customFormat="1" ht="38.25" hidden="1" customHeight="1" x14ac:dyDescent="0.2">
      <c r="A176" s="83"/>
      <c r="B176" s="20"/>
      <c r="C176" s="20"/>
      <c r="D176" s="20"/>
      <c r="E176" s="20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>
        <f>SUM(P177:P180)</f>
        <v>3</v>
      </c>
      <c r="Q176" s="24">
        <f>P176+SUM(Q177:Q180)</f>
        <v>6</v>
      </c>
      <c r="R176" s="24">
        <f>Q176+SUM(R177:R180)</f>
        <v>10</v>
      </c>
      <c r="S176" s="22">
        <v>7</v>
      </c>
      <c r="T176" s="24"/>
      <c r="U176" s="24"/>
      <c r="V176" s="24"/>
      <c r="W176" s="24"/>
      <c r="X176" s="24"/>
      <c r="Y176" s="24"/>
      <c r="Z176" s="24"/>
      <c r="AA176" s="123"/>
      <c r="AB176" s="123"/>
      <c r="AC176" s="123"/>
      <c r="AD176" s="89"/>
    </row>
    <row r="177" spans="1:30" s="25" customFormat="1" ht="29" customHeight="1" x14ac:dyDescent="0.2">
      <c r="A177" s="83"/>
      <c r="B177" s="116" t="s">
        <v>204</v>
      </c>
      <c r="C177" s="117"/>
      <c r="D177" s="117"/>
      <c r="E177" s="118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69">
        <v>1</v>
      </c>
      <c r="Q177" s="69">
        <v>1</v>
      </c>
      <c r="R177" s="69">
        <v>1</v>
      </c>
      <c r="S177" s="22">
        <f t="shared" si="142"/>
        <v>3</v>
      </c>
      <c r="T177" s="24"/>
      <c r="U177" s="24"/>
      <c r="V177" s="24"/>
      <c r="W177" s="24"/>
      <c r="X177" s="24"/>
      <c r="Y177" s="24"/>
      <c r="Z177" s="24"/>
      <c r="AA177" s="123"/>
      <c r="AB177" s="123"/>
      <c r="AC177" s="123"/>
      <c r="AD177" s="89"/>
    </row>
    <row r="178" spans="1:30" s="25" customFormat="1" ht="31" customHeight="1" x14ac:dyDescent="0.2">
      <c r="A178" s="83"/>
      <c r="B178" s="113" t="s">
        <v>205</v>
      </c>
      <c r="C178" s="114"/>
      <c r="D178" s="114"/>
      <c r="E178" s="115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69">
        <v>1</v>
      </c>
      <c r="Q178" s="69">
        <v>1</v>
      </c>
      <c r="R178" s="69">
        <v>1</v>
      </c>
      <c r="S178" s="22">
        <f t="shared" si="142"/>
        <v>3</v>
      </c>
      <c r="T178" s="24"/>
      <c r="U178" s="24"/>
      <c r="V178" s="24"/>
      <c r="W178" s="24"/>
      <c r="X178" s="24"/>
      <c r="Y178" s="24"/>
      <c r="Z178" s="24"/>
      <c r="AA178" s="123"/>
      <c r="AB178" s="123"/>
      <c r="AC178" s="123"/>
      <c r="AD178" s="89"/>
    </row>
    <row r="179" spans="1:30" s="25" customFormat="1" ht="31" customHeight="1" x14ac:dyDescent="0.2">
      <c r="A179" s="83"/>
      <c r="B179" s="72" t="s">
        <v>206</v>
      </c>
      <c r="C179" s="62"/>
      <c r="D179" s="62"/>
      <c r="E179" s="6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69">
        <v>1</v>
      </c>
      <c r="Q179" s="69">
        <v>1</v>
      </c>
      <c r="R179" s="69">
        <v>1</v>
      </c>
      <c r="S179" s="22">
        <f t="shared" si="142"/>
        <v>3</v>
      </c>
      <c r="T179" s="24"/>
      <c r="U179" s="24"/>
      <c r="V179" s="24"/>
      <c r="W179" s="24"/>
      <c r="X179" s="24"/>
      <c r="Y179" s="24"/>
      <c r="Z179" s="24"/>
      <c r="AA179" s="123"/>
      <c r="AB179" s="123"/>
      <c r="AC179" s="123"/>
      <c r="AD179" s="89"/>
    </row>
    <row r="180" spans="1:30" s="25" customFormat="1" ht="27" customHeight="1" x14ac:dyDescent="0.2">
      <c r="A180" s="84"/>
      <c r="B180" s="116" t="s">
        <v>207</v>
      </c>
      <c r="C180" s="117"/>
      <c r="D180" s="117"/>
      <c r="E180" s="118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69">
        <v>1</v>
      </c>
      <c r="S180" s="22">
        <f t="shared" si="142"/>
        <v>1</v>
      </c>
      <c r="T180" s="24"/>
      <c r="U180" s="24"/>
      <c r="V180" s="24"/>
      <c r="W180" s="24"/>
      <c r="X180" s="24"/>
      <c r="Y180" s="24"/>
      <c r="Z180" s="24"/>
      <c r="AA180" s="123"/>
      <c r="AB180" s="123"/>
      <c r="AC180" s="123"/>
      <c r="AD180" s="89"/>
    </row>
    <row r="181" spans="1:30" s="31" customFormat="1" ht="125" x14ac:dyDescent="0.2">
      <c r="A181" s="12">
        <v>2.5</v>
      </c>
      <c r="B181" s="48" t="s">
        <v>208</v>
      </c>
      <c r="C181" s="26" t="s">
        <v>209</v>
      </c>
      <c r="D181" s="26" t="s">
        <v>210</v>
      </c>
      <c r="E181" s="64" t="s">
        <v>211</v>
      </c>
      <c r="F181" s="26"/>
      <c r="G181" s="44">
        <f>(G182+G189+G195+G202+G208)*100/$S$181</f>
        <v>1.978494623655914</v>
      </c>
      <c r="H181" s="44">
        <f t="shared" ref="H181:R181" si="152">(H182+H189+H195+H202+H208)*100/$S$181</f>
        <v>5.247311827956989</v>
      </c>
      <c r="I181" s="44">
        <f t="shared" si="152"/>
        <v>14.182795698924732</v>
      </c>
      <c r="J181" s="44">
        <f t="shared" si="152"/>
        <v>23.784946236559144</v>
      </c>
      <c r="K181" s="44">
        <f t="shared" si="152"/>
        <v>32.053763440860209</v>
      </c>
      <c r="L181" s="44">
        <f t="shared" si="152"/>
        <v>38.989247311827953</v>
      </c>
      <c r="M181" s="44">
        <f t="shared" si="152"/>
        <v>47.258064516129032</v>
      </c>
      <c r="N181" s="44">
        <f t="shared" si="152"/>
        <v>54.193548387096783</v>
      </c>
      <c r="O181" s="44">
        <f t="shared" si="152"/>
        <v>61.129032258064512</v>
      </c>
      <c r="P181" s="44">
        <f t="shared" si="152"/>
        <v>78.064516129032256</v>
      </c>
      <c r="Q181" s="44">
        <f t="shared" si="152"/>
        <v>91</v>
      </c>
      <c r="R181" s="44">
        <f t="shared" si="152"/>
        <v>100</v>
      </c>
      <c r="S181" s="41">
        <v>500</v>
      </c>
      <c r="T181" s="26" t="s">
        <v>178</v>
      </c>
      <c r="U181" s="37">
        <v>4.2</v>
      </c>
      <c r="V181" s="38"/>
      <c r="W181" s="38"/>
      <c r="X181" s="38"/>
      <c r="Y181" s="38"/>
      <c r="Z181" s="38"/>
      <c r="AA181" s="57"/>
      <c r="AB181" s="57"/>
      <c r="AC181" s="57"/>
      <c r="AD181" s="57"/>
    </row>
    <row r="182" spans="1:30" s="25" customFormat="1" ht="24" customHeight="1" x14ac:dyDescent="0.4">
      <c r="A182" s="82"/>
      <c r="B182" s="101" t="s">
        <v>212</v>
      </c>
      <c r="C182" s="101"/>
      <c r="D182" s="101"/>
      <c r="E182" s="101"/>
      <c r="F182" s="45" t="s">
        <v>213</v>
      </c>
      <c r="G182" s="68">
        <f t="shared" ref="G182:R182" si="153">(G183*100)/$S$183</f>
        <v>6.666666666666667</v>
      </c>
      <c r="H182" s="68">
        <f t="shared" si="153"/>
        <v>13.333333333333334</v>
      </c>
      <c r="I182" s="68">
        <f t="shared" si="153"/>
        <v>26.666666666666668</v>
      </c>
      <c r="J182" s="68">
        <f t="shared" si="153"/>
        <v>33.333333333333336</v>
      </c>
      <c r="K182" s="68">
        <f t="shared" si="153"/>
        <v>46.666666666666664</v>
      </c>
      <c r="L182" s="68">
        <f t="shared" si="153"/>
        <v>53.333333333333336</v>
      </c>
      <c r="M182" s="68">
        <f t="shared" si="153"/>
        <v>66.666666666666671</v>
      </c>
      <c r="N182" s="68">
        <f t="shared" si="153"/>
        <v>73.333333333333329</v>
      </c>
      <c r="O182" s="68">
        <f t="shared" si="153"/>
        <v>80</v>
      </c>
      <c r="P182" s="68">
        <f t="shared" si="153"/>
        <v>86.666666666666671</v>
      </c>
      <c r="Q182" s="68">
        <f t="shared" si="153"/>
        <v>93.333333333333329</v>
      </c>
      <c r="R182" s="68">
        <f t="shared" si="153"/>
        <v>100</v>
      </c>
      <c r="S182" s="22"/>
      <c r="T182" s="24"/>
      <c r="U182" s="24"/>
      <c r="V182" s="24"/>
      <c r="W182" s="24"/>
      <c r="X182" s="24"/>
      <c r="Y182" s="24"/>
      <c r="Z182" s="24"/>
      <c r="AA182" s="103"/>
      <c r="AB182" s="103"/>
      <c r="AC182" s="103"/>
      <c r="AD182" s="103"/>
    </row>
    <row r="183" spans="1:30" s="25" customFormat="1" ht="1" hidden="1" customHeight="1" x14ac:dyDescent="0.2">
      <c r="A183" s="83"/>
      <c r="B183" s="47"/>
      <c r="C183" s="47"/>
      <c r="D183" s="47"/>
      <c r="E183" s="47"/>
      <c r="F183" s="45"/>
      <c r="G183" s="24">
        <f>SUM(G184:G188)</f>
        <v>1</v>
      </c>
      <c r="H183" s="24">
        <f t="shared" ref="H183:R183" si="154">G183+SUM(H184:H188)</f>
        <v>2</v>
      </c>
      <c r="I183" s="24">
        <f t="shared" si="154"/>
        <v>4</v>
      </c>
      <c r="J183" s="24">
        <f t="shared" si="154"/>
        <v>5</v>
      </c>
      <c r="K183" s="24">
        <f t="shared" si="154"/>
        <v>7</v>
      </c>
      <c r="L183" s="24">
        <f t="shared" si="154"/>
        <v>8</v>
      </c>
      <c r="M183" s="24">
        <f t="shared" si="154"/>
        <v>10</v>
      </c>
      <c r="N183" s="24">
        <f t="shared" si="154"/>
        <v>11</v>
      </c>
      <c r="O183" s="24">
        <f t="shared" si="154"/>
        <v>12</v>
      </c>
      <c r="P183" s="24">
        <f t="shared" si="154"/>
        <v>13</v>
      </c>
      <c r="Q183" s="24">
        <f t="shared" si="154"/>
        <v>14</v>
      </c>
      <c r="R183" s="24">
        <f t="shared" si="154"/>
        <v>15</v>
      </c>
      <c r="S183" s="22">
        <v>15</v>
      </c>
      <c r="T183" s="24"/>
      <c r="U183" s="24"/>
      <c r="V183" s="24"/>
      <c r="W183" s="24"/>
      <c r="X183" s="24"/>
      <c r="Y183" s="24"/>
      <c r="Z183" s="24"/>
      <c r="AA183" s="103"/>
      <c r="AB183" s="103"/>
      <c r="AC183" s="103"/>
      <c r="AD183" s="103"/>
    </row>
    <row r="184" spans="1:30" s="25" customFormat="1" ht="25" customHeight="1" x14ac:dyDescent="0.2">
      <c r="A184" s="83"/>
      <c r="B184" s="119" t="s">
        <v>214</v>
      </c>
      <c r="C184" s="120"/>
      <c r="D184" s="120"/>
      <c r="E184" s="121"/>
      <c r="F184" s="45"/>
      <c r="G184" s="69">
        <v>1</v>
      </c>
      <c r="H184" s="69">
        <v>1</v>
      </c>
      <c r="I184" s="69">
        <v>1</v>
      </c>
      <c r="J184" s="24"/>
      <c r="K184" s="24"/>
      <c r="L184" s="24"/>
      <c r="M184" s="24"/>
      <c r="N184" s="24"/>
      <c r="O184" s="24"/>
      <c r="P184" s="24"/>
      <c r="Q184" s="24"/>
      <c r="R184" s="24"/>
      <c r="S184" s="22">
        <f t="shared" si="142"/>
        <v>3</v>
      </c>
      <c r="T184" s="24"/>
      <c r="U184" s="24"/>
      <c r="V184" s="24"/>
      <c r="W184" s="24"/>
      <c r="X184" s="24"/>
      <c r="Y184" s="24"/>
      <c r="Z184" s="24"/>
      <c r="AA184" s="103"/>
      <c r="AB184" s="103"/>
      <c r="AC184" s="103"/>
      <c r="AD184" s="103"/>
    </row>
    <row r="185" spans="1:30" s="25" customFormat="1" ht="29" customHeight="1" x14ac:dyDescent="0.2">
      <c r="A185" s="83"/>
      <c r="B185" s="119" t="s">
        <v>215</v>
      </c>
      <c r="C185" s="120"/>
      <c r="D185" s="120"/>
      <c r="E185" s="121"/>
      <c r="F185" s="45"/>
      <c r="G185" s="24"/>
      <c r="H185" s="24"/>
      <c r="I185" s="69">
        <v>1</v>
      </c>
      <c r="J185" s="69">
        <v>1</v>
      </c>
      <c r="K185" s="69">
        <v>1</v>
      </c>
      <c r="L185" s="24"/>
      <c r="M185" s="24"/>
      <c r="N185" s="24"/>
      <c r="O185" s="24"/>
      <c r="P185" s="24"/>
      <c r="Q185" s="24"/>
      <c r="R185" s="24"/>
      <c r="S185" s="22">
        <f t="shared" si="142"/>
        <v>3</v>
      </c>
      <c r="T185" s="24"/>
      <c r="U185" s="24"/>
      <c r="V185" s="24"/>
      <c r="W185" s="24"/>
      <c r="X185" s="24"/>
      <c r="Y185" s="24"/>
      <c r="Z185" s="24"/>
      <c r="AA185" s="103"/>
      <c r="AB185" s="103"/>
      <c r="AC185" s="103"/>
      <c r="AD185" s="103"/>
    </row>
    <row r="186" spans="1:30" s="25" customFormat="1" x14ac:dyDescent="0.2">
      <c r="A186" s="83"/>
      <c r="B186" s="107" t="s">
        <v>216</v>
      </c>
      <c r="C186" s="108"/>
      <c r="D186" s="108"/>
      <c r="E186" s="109"/>
      <c r="F186" s="45"/>
      <c r="G186" s="24"/>
      <c r="H186" s="24"/>
      <c r="I186" s="24"/>
      <c r="J186" s="24"/>
      <c r="K186" s="69">
        <v>1</v>
      </c>
      <c r="L186" s="69">
        <v>1</v>
      </c>
      <c r="M186" s="69">
        <v>1</v>
      </c>
      <c r="N186" s="24"/>
      <c r="O186" s="24"/>
      <c r="P186" s="24"/>
      <c r="Q186" s="24"/>
      <c r="R186" s="24"/>
      <c r="S186" s="22">
        <f t="shared" si="142"/>
        <v>3</v>
      </c>
      <c r="T186" s="24"/>
      <c r="U186" s="24"/>
      <c r="V186" s="24"/>
      <c r="W186" s="24"/>
      <c r="X186" s="24"/>
      <c r="Y186" s="24"/>
      <c r="Z186" s="24"/>
      <c r="AA186" s="103"/>
      <c r="AB186" s="103"/>
      <c r="AC186" s="103"/>
      <c r="AD186" s="103"/>
    </row>
    <row r="187" spans="1:30" s="25" customFormat="1" x14ac:dyDescent="0.2">
      <c r="A187" s="83"/>
      <c r="B187" s="107" t="s">
        <v>217</v>
      </c>
      <c r="C187" s="108"/>
      <c r="D187" s="108"/>
      <c r="E187" s="109"/>
      <c r="F187" s="45"/>
      <c r="G187" s="24"/>
      <c r="H187" s="24"/>
      <c r="I187" s="24"/>
      <c r="J187" s="24"/>
      <c r="K187" s="24"/>
      <c r="L187" s="24"/>
      <c r="M187" s="69">
        <v>1</v>
      </c>
      <c r="N187" s="69">
        <v>1</v>
      </c>
      <c r="O187" s="69">
        <v>1</v>
      </c>
      <c r="P187" s="24"/>
      <c r="Q187" s="24"/>
      <c r="R187" s="24"/>
      <c r="S187" s="22">
        <f t="shared" si="142"/>
        <v>3</v>
      </c>
      <c r="T187" s="24"/>
      <c r="U187" s="24"/>
      <c r="V187" s="24"/>
      <c r="W187" s="24"/>
      <c r="X187" s="24"/>
      <c r="Y187" s="24"/>
      <c r="Z187" s="24"/>
      <c r="AA187" s="103"/>
      <c r="AB187" s="103"/>
      <c r="AC187" s="103"/>
      <c r="AD187" s="103"/>
    </row>
    <row r="188" spans="1:30" s="25" customFormat="1" x14ac:dyDescent="0.2">
      <c r="A188" s="83"/>
      <c r="B188" s="107" t="s">
        <v>218</v>
      </c>
      <c r="C188" s="108"/>
      <c r="D188" s="108"/>
      <c r="E188" s="109"/>
      <c r="F188" s="45"/>
      <c r="G188" s="24"/>
      <c r="H188" s="24"/>
      <c r="I188" s="24"/>
      <c r="J188" s="24"/>
      <c r="K188" s="24"/>
      <c r="L188" s="24"/>
      <c r="M188" s="24"/>
      <c r="N188" s="24"/>
      <c r="O188" s="24"/>
      <c r="P188" s="69">
        <v>1</v>
      </c>
      <c r="Q188" s="69">
        <v>1</v>
      </c>
      <c r="R188" s="69">
        <v>1</v>
      </c>
      <c r="S188" s="22">
        <f t="shared" si="142"/>
        <v>3</v>
      </c>
      <c r="T188" s="24"/>
      <c r="U188" s="24"/>
      <c r="V188" s="24"/>
      <c r="W188" s="24"/>
      <c r="X188" s="24"/>
      <c r="Y188" s="24"/>
      <c r="Z188" s="24"/>
      <c r="AA188" s="103"/>
      <c r="AB188" s="103"/>
      <c r="AC188" s="103"/>
      <c r="AD188" s="103"/>
    </row>
    <row r="189" spans="1:30" s="25" customFormat="1" ht="27" customHeight="1" x14ac:dyDescent="0.4">
      <c r="A189" s="83"/>
      <c r="B189" s="101" t="s">
        <v>219</v>
      </c>
      <c r="C189" s="101"/>
      <c r="D189" s="101"/>
      <c r="E189" s="101"/>
      <c r="F189" s="46"/>
      <c r="G189" s="24"/>
      <c r="H189" s="24"/>
      <c r="I189" s="68">
        <f t="shared" ref="I189:R189" si="155">(I190*100)/$S$190</f>
        <v>5</v>
      </c>
      <c r="J189" s="68">
        <f t="shared" si="155"/>
        <v>20</v>
      </c>
      <c r="K189" s="68">
        <f t="shared" si="155"/>
        <v>30</v>
      </c>
      <c r="L189" s="68">
        <f t="shared" si="155"/>
        <v>40</v>
      </c>
      <c r="M189" s="68">
        <f t="shared" si="155"/>
        <v>50</v>
      </c>
      <c r="N189" s="68">
        <f t="shared" si="155"/>
        <v>60</v>
      </c>
      <c r="O189" s="68">
        <f t="shared" si="155"/>
        <v>70</v>
      </c>
      <c r="P189" s="68">
        <f t="shared" si="155"/>
        <v>80</v>
      </c>
      <c r="Q189" s="68">
        <f t="shared" si="155"/>
        <v>90</v>
      </c>
      <c r="R189" s="68">
        <f t="shared" si="155"/>
        <v>100</v>
      </c>
      <c r="S189" s="22"/>
      <c r="T189" s="24"/>
      <c r="U189" s="24"/>
      <c r="V189" s="24"/>
      <c r="W189" s="24"/>
      <c r="X189" s="24"/>
      <c r="Y189" s="24"/>
      <c r="Z189" s="24"/>
      <c r="AA189" s="103"/>
      <c r="AB189" s="103"/>
      <c r="AC189" s="103"/>
      <c r="AD189" s="103"/>
    </row>
    <row r="190" spans="1:30" s="25" customFormat="1" ht="23.25" hidden="1" customHeight="1" x14ac:dyDescent="0.2">
      <c r="A190" s="83"/>
      <c r="B190" s="47"/>
      <c r="C190" s="47"/>
      <c r="D190" s="47"/>
      <c r="E190" s="47"/>
      <c r="F190" s="46"/>
      <c r="G190" s="24"/>
      <c r="H190" s="24"/>
      <c r="I190" s="24">
        <f>SUM(I191:I194)</f>
        <v>1</v>
      </c>
      <c r="J190" s="24">
        <f>I190+(SUM(J191:J194))</f>
        <v>4</v>
      </c>
      <c r="K190" s="24">
        <f>J190+(SUM(K191:K194))</f>
        <v>6</v>
      </c>
      <c r="L190" s="24">
        <f>K190+(SUM(L191:L194))</f>
        <v>8</v>
      </c>
      <c r="M190" s="24">
        <f t="shared" ref="M190:R190" si="156">L190+SUM(M191:M194)</f>
        <v>10</v>
      </c>
      <c r="N190" s="24">
        <f t="shared" si="156"/>
        <v>12</v>
      </c>
      <c r="O190" s="24">
        <f t="shared" si="156"/>
        <v>14</v>
      </c>
      <c r="P190" s="24">
        <f t="shared" si="156"/>
        <v>16</v>
      </c>
      <c r="Q190" s="24">
        <f t="shared" si="156"/>
        <v>18</v>
      </c>
      <c r="R190" s="24">
        <f t="shared" si="156"/>
        <v>20</v>
      </c>
      <c r="S190" s="22">
        <v>20</v>
      </c>
      <c r="T190" s="24"/>
      <c r="U190" s="24"/>
      <c r="V190" s="24"/>
      <c r="W190" s="24"/>
      <c r="X190" s="24"/>
      <c r="Y190" s="24"/>
      <c r="Z190" s="24"/>
      <c r="AA190" s="103"/>
      <c r="AB190" s="103"/>
      <c r="AC190" s="103"/>
      <c r="AD190" s="103"/>
    </row>
    <row r="191" spans="1:30" s="25" customFormat="1" x14ac:dyDescent="0.2">
      <c r="A191" s="83"/>
      <c r="B191" s="107" t="s">
        <v>220</v>
      </c>
      <c r="C191" s="108"/>
      <c r="D191" s="108"/>
      <c r="E191" s="109"/>
      <c r="F191" s="46"/>
      <c r="G191" s="24"/>
      <c r="H191" s="24"/>
      <c r="I191" s="70">
        <v>1</v>
      </c>
      <c r="J191" s="24"/>
      <c r="K191" s="24"/>
      <c r="L191" s="24"/>
      <c r="M191" s="24"/>
      <c r="N191" s="24"/>
      <c r="O191" s="24"/>
      <c r="P191" s="24"/>
      <c r="Q191" s="24"/>
      <c r="R191" s="24"/>
      <c r="S191" s="22">
        <f t="shared" si="142"/>
        <v>1</v>
      </c>
      <c r="T191" s="24"/>
      <c r="U191" s="24"/>
      <c r="V191" s="24"/>
      <c r="W191" s="24"/>
      <c r="X191" s="24"/>
      <c r="Y191" s="24"/>
      <c r="Z191" s="24"/>
      <c r="AA191" s="103"/>
      <c r="AB191" s="103"/>
      <c r="AC191" s="103"/>
      <c r="AD191" s="103"/>
    </row>
    <row r="192" spans="1:30" s="25" customFormat="1" ht="27" customHeight="1" x14ac:dyDescent="0.2">
      <c r="A192" s="83"/>
      <c r="B192" s="119" t="s">
        <v>221</v>
      </c>
      <c r="C192" s="120"/>
      <c r="D192" s="120"/>
      <c r="E192" s="121"/>
      <c r="F192" s="46"/>
      <c r="G192" s="24"/>
      <c r="H192" s="24"/>
      <c r="I192" s="24"/>
      <c r="J192" s="70">
        <v>1</v>
      </c>
      <c r="K192" s="24"/>
      <c r="L192" s="24"/>
      <c r="M192" s="24"/>
      <c r="N192" s="24"/>
      <c r="O192" s="24"/>
      <c r="P192" s="24"/>
      <c r="Q192" s="24"/>
      <c r="R192" s="24"/>
      <c r="S192" s="22">
        <f t="shared" si="142"/>
        <v>1</v>
      </c>
      <c r="T192" s="24"/>
      <c r="U192" s="24"/>
      <c r="V192" s="24"/>
      <c r="W192" s="24"/>
      <c r="X192" s="24"/>
      <c r="Y192" s="24"/>
      <c r="Z192" s="24"/>
      <c r="AA192" s="103"/>
      <c r="AB192" s="103"/>
      <c r="AC192" s="103"/>
      <c r="AD192" s="103"/>
    </row>
    <row r="193" spans="1:30" s="25" customFormat="1" x14ac:dyDescent="0.2">
      <c r="A193" s="83"/>
      <c r="B193" s="107" t="s">
        <v>222</v>
      </c>
      <c r="C193" s="108"/>
      <c r="D193" s="108"/>
      <c r="E193" s="109"/>
      <c r="F193" s="46"/>
      <c r="G193" s="24"/>
      <c r="H193" s="24"/>
      <c r="I193" s="24"/>
      <c r="J193" s="70">
        <v>1</v>
      </c>
      <c r="K193" s="70">
        <v>1</v>
      </c>
      <c r="L193" s="70">
        <v>1</v>
      </c>
      <c r="M193" s="70">
        <v>1</v>
      </c>
      <c r="N193" s="70">
        <v>1</v>
      </c>
      <c r="O193" s="70">
        <v>1</v>
      </c>
      <c r="P193" s="70">
        <v>1</v>
      </c>
      <c r="Q193" s="70">
        <v>1</v>
      </c>
      <c r="R193" s="70">
        <v>1</v>
      </c>
      <c r="S193" s="22">
        <f t="shared" si="142"/>
        <v>9</v>
      </c>
      <c r="T193" s="24"/>
      <c r="U193" s="24"/>
      <c r="V193" s="24"/>
      <c r="W193" s="24"/>
      <c r="X193" s="24"/>
      <c r="Y193" s="24"/>
      <c r="Z193" s="24"/>
      <c r="AA193" s="103"/>
      <c r="AB193" s="103"/>
      <c r="AC193" s="103"/>
      <c r="AD193" s="103"/>
    </row>
    <row r="194" spans="1:30" s="25" customFormat="1" x14ac:dyDescent="0.2">
      <c r="A194" s="83"/>
      <c r="B194" s="107" t="s">
        <v>223</v>
      </c>
      <c r="C194" s="108"/>
      <c r="D194" s="108"/>
      <c r="E194" s="109"/>
      <c r="F194" s="46"/>
      <c r="G194" s="24"/>
      <c r="H194" s="24"/>
      <c r="I194" s="24"/>
      <c r="J194" s="70">
        <v>1</v>
      </c>
      <c r="K194" s="70">
        <v>1</v>
      </c>
      <c r="L194" s="70">
        <v>1</v>
      </c>
      <c r="M194" s="70">
        <v>1</v>
      </c>
      <c r="N194" s="70">
        <v>1</v>
      </c>
      <c r="O194" s="70">
        <v>1</v>
      </c>
      <c r="P194" s="70">
        <v>1</v>
      </c>
      <c r="Q194" s="70">
        <v>1</v>
      </c>
      <c r="R194" s="70">
        <v>1</v>
      </c>
      <c r="S194" s="22">
        <f t="shared" si="142"/>
        <v>9</v>
      </c>
      <c r="T194" s="24"/>
      <c r="U194" s="24"/>
      <c r="V194" s="24"/>
      <c r="W194" s="24"/>
      <c r="X194" s="24"/>
      <c r="Y194" s="24"/>
      <c r="Z194" s="24"/>
      <c r="AA194" s="103"/>
      <c r="AB194" s="103"/>
      <c r="AC194" s="103"/>
      <c r="AD194" s="103"/>
    </row>
    <row r="195" spans="1:30" s="25" customFormat="1" ht="22" customHeight="1" x14ac:dyDescent="0.4">
      <c r="A195" s="83"/>
      <c r="B195" s="85" t="s">
        <v>224</v>
      </c>
      <c r="C195" s="85"/>
      <c r="D195" s="85"/>
      <c r="E195" s="85"/>
      <c r="F195" s="24"/>
      <c r="G195" s="24"/>
      <c r="H195" s="24"/>
      <c r="I195" s="68">
        <f t="shared" ref="I195:R195" si="157">(I196*100)/$S$196</f>
        <v>16.666666666666668</v>
      </c>
      <c r="J195" s="68">
        <f t="shared" si="157"/>
        <v>33.333333333333336</v>
      </c>
      <c r="K195" s="68">
        <f t="shared" si="157"/>
        <v>41.666666666666664</v>
      </c>
      <c r="L195" s="68">
        <f t="shared" si="157"/>
        <v>50</v>
      </c>
      <c r="M195" s="68">
        <f t="shared" si="157"/>
        <v>58.333333333333336</v>
      </c>
      <c r="N195" s="68">
        <f t="shared" si="157"/>
        <v>66.666666666666671</v>
      </c>
      <c r="O195" s="68">
        <f t="shared" si="157"/>
        <v>75</v>
      </c>
      <c r="P195" s="68">
        <f t="shared" si="157"/>
        <v>83.333333333333329</v>
      </c>
      <c r="Q195" s="68">
        <f t="shared" si="157"/>
        <v>91.666666666666671</v>
      </c>
      <c r="R195" s="68">
        <f t="shared" si="157"/>
        <v>100</v>
      </c>
      <c r="S195" s="22"/>
      <c r="T195" s="24"/>
      <c r="U195" s="24"/>
      <c r="V195" s="24"/>
      <c r="W195" s="24"/>
      <c r="X195" s="24"/>
      <c r="Y195" s="24"/>
      <c r="Z195" s="24"/>
      <c r="AA195" s="103"/>
      <c r="AB195" s="103"/>
      <c r="AC195" s="103"/>
      <c r="AD195" s="103"/>
    </row>
    <row r="196" spans="1:30" s="25" customFormat="1" ht="19" hidden="1" customHeight="1" x14ac:dyDescent="0.2">
      <c r="A196" s="83"/>
      <c r="B196" s="20"/>
      <c r="C196" s="20"/>
      <c r="D196" s="20"/>
      <c r="E196" s="20"/>
      <c r="F196" s="24"/>
      <c r="G196" s="24"/>
      <c r="H196" s="24"/>
      <c r="I196" s="24">
        <f>SUM(I197:I201)</f>
        <v>2</v>
      </c>
      <c r="J196" s="24">
        <f>I196+(SUM(J197:J201))</f>
        <v>4</v>
      </c>
      <c r="K196" s="24">
        <f>J196+(SUM(K197:K201))</f>
        <v>5</v>
      </c>
      <c r="L196" s="24">
        <f>K196+(SUM(L197:L201))</f>
        <v>6</v>
      </c>
      <c r="M196" s="24">
        <f t="shared" ref="M196:R196" si="158">L196+SUM(M197:M201)</f>
        <v>7</v>
      </c>
      <c r="N196" s="24">
        <f t="shared" si="158"/>
        <v>8</v>
      </c>
      <c r="O196" s="24">
        <f t="shared" si="158"/>
        <v>9</v>
      </c>
      <c r="P196" s="24">
        <f t="shared" si="158"/>
        <v>10</v>
      </c>
      <c r="Q196" s="24">
        <f t="shared" si="158"/>
        <v>11</v>
      </c>
      <c r="R196" s="24">
        <f t="shared" si="158"/>
        <v>12</v>
      </c>
      <c r="S196" s="22">
        <v>12</v>
      </c>
      <c r="T196" s="24"/>
      <c r="U196" s="24"/>
      <c r="V196" s="24"/>
      <c r="W196" s="24"/>
      <c r="X196" s="24"/>
      <c r="Y196" s="24"/>
      <c r="Z196" s="24"/>
      <c r="AA196" s="103"/>
      <c r="AB196" s="103"/>
      <c r="AC196" s="103"/>
      <c r="AD196" s="103"/>
    </row>
    <row r="197" spans="1:30" s="25" customFormat="1" ht="25" customHeight="1" x14ac:dyDescent="0.2">
      <c r="A197" s="83"/>
      <c r="B197" s="113" t="s">
        <v>225</v>
      </c>
      <c r="C197" s="114"/>
      <c r="D197" s="114"/>
      <c r="E197" s="115"/>
      <c r="F197" s="24"/>
      <c r="G197" s="24"/>
      <c r="H197" s="24"/>
      <c r="I197" s="70">
        <v>1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22">
        <f>SUM(G197:R197)</f>
        <v>1</v>
      </c>
      <c r="T197" s="24"/>
      <c r="U197" s="24"/>
      <c r="V197" s="24"/>
      <c r="W197" s="24"/>
      <c r="X197" s="24"/>
      <c r="Y197" s="24"/>
      <c r="Z197" s="24"/>
      <c r="AA197" s="103"/>
      <c r="AB197" s="103"/>
      <c r="AC197" s="103"/>
      <c r="AD197" s="103"/>
    </row>
    <row r="198" spans="1:30" s="25" customFormat="1" ht="25" customHeight="1" x14ac:dyDescent="0.2">
      <c r="A198" s="83"/>
      <c r="B198" s="116" t="s">
        <v>226</v>
      </c>
      <c r="C198" s="117"/>
      <c r="D198" s="117"/>
      <c r="E198" s="118"/>
      <c r="F198" s="24"/>
      <c r="G198" s="24"/>
      <c r="H198" s="24"/>
      <c r="I198" s="70">
        <v>1</v>
      </c>
      <c r="J198" s="70">
        <v>1</v>
      </c>
      <c r="K198" s="24"/>
      <c r="L198" s="24"/>
      <c r="M198" s="24"/>
      <c r="N198" s="24"/>
      <c r="O198" s="24"/>
      <c r="P198" s="24"/>
      <c r="Q198" s="24"/>
      <c r="R198" s="24"/>
      <c r="S198" s="22">
        <f>SUM(G198:R198)</f>
        <v>2</v>
      </c>
      <c r="T198" s="24"/>
      <c r="U198" s="24"/>
      <c r="V198" s="24"/>
      <c r="W198" s="24"/>
      <c r="X198" s="24"/>
      <c r="Y198" s="24"/>
      <c r="Z198" s="24"/>
      <c r="AA198" s="103"/>
      <c r="AB198" s="103"/>
      <c r="AC198" s="103"/>
      <c r="AD198" s="103"/>
    </row>
    <row r="199" spans="1:30" s="25" customFormat="1" ht="25" customHeight="1" x14ac:dyDescent="0.2">
      <c r="A199" s="83"/>
      <c r="B199" s="113" t="s">
        <v>227</v>
      </c>
      <c r="C199" s="114"/>
      <c r="D199" s="114"/>
      <c r="E199" s="115"/>
      <c r="F199" s="24"/>
      <c r="G199" s="24"/>
      <c r="H199" s="24"/>
      <c r="I199" s="24"/>
      <c r="J199" s="70">
        <v>1</v>
      </c>
      <c r="K199" s="70">
        <v>1</v>
      </c>
      <c r="L199" s="70">
        <v>1</v>
      </c>
      <c r="M199" s="70">
        <v>1</v>
      </c>
      <c r="N199" s="70">
        <v>1</v>
      </c>
      <c r="O199" s="70">
        <v>1</v>
      </c>
      <c r="P199" s="24"/>
      <c r="Q199" s="24"/>
      <c r="R199" s="24"/>
      <c r="S199" s="22">
        <f>SUM(G199:R199)</f>
        <v>6</v>
      </c>
      <c r="T199" s="24"/>
      <c r="U199" s="24"/>
      <c r="V199" s="24"/>
      <c r="W199" s="24"/>
      <c r="X199" s="24"/>
      <c r="Y199" s="24"/>
      <c r="Z199" s="24"/>
      <c r="AA199" s="103"/>
      <c r="AB199" s="103"/>
      <c r="AC199" s="103"/>
      <c r="AD199" s="103"/>
    </row>
    <row r="200" spans="1:30" s="25" customFormat="1" ht="25" customHeight="1" x14ac:dyDescent="0.2">
      <c r="A200" s="83"/>
      <c r="B200" s="116" t="s">
        <v>228</v>
      </c>
      <c r="C200" s="117"/>
      <c r="D200" s="117"/>
      <c r="E200" s="118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70">
        <v>1</v>
      </c>
      <c r="Q200" s="24"/>
      <c r="R200" s="24"/>
      <c r="S200" s="22">
        <f>SUM(G200:R200)</f>
        <v>1</v>
      </c>
      <c r="T200" s="24"/>
      <c r="U200" s="24"/>
      <c r="V200" s="24"/>
      <c r="W200" s="24"/>
      <c r="X200" s="24"/>
      <c r="Y200" s="24"/>
      <c r="Z200" s="24"/>
      <c r="AA200" s="103"/>
      <c r="AB200" s="103"/>
      <c r="AC200" s="103"/>
      <c r="AD200" s="103"/>
    </row>
    <row r="201" spans="1:30" s="25" customFormat="1" ht="25" customHeight="1" x14ac:dyDescent="0.2">
      <c r="A201" s="83"/>
      <c r="B201" s="113" t="s">
        <v>229</v>
      </c>
      <c r="C201" s="114"/>
      <c r="D201" s="114"/>
      <c r="E201" s="115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70">
        <v>1</v>
      </c>
      <c r="R201" s="70">
        <v>1</v>
      </c>
      <c r="S201" s="22">
        <f>SUM(G201:R201)</f>
        <v>2</v>
      </c>
      <c r="T201" s="24"/>
      <c r="U201" s="24"/>
      <c r="V201" s="24"/>
      <c r="W201" s="24"/>
      <c r="X201" s="24"/>
      <c r="Y201" s="24"/>
      <c r="Z201" s="24"/>
      <c r="AA201" s="103"/>
      <c r="AB201" s="103"/>
      <c r="AC201" s="103"/>
      <c r="AD201" s="103"/>
    </row>
    <row r="202" spans="1:30" s="25" customFormat="1" ht="29" customHeight="1" x14ac:dyDescent="0.4">
      <c r="A202" s="83"/>
      <c r="B202" s="104" t="s">
        <v>230</v>
      </c>
      <c r="C202" s="105"/>
      <c r="D202" s="105"/>
      <c r="E202" s="106"/>
      <c r="F202" s="24" t="s">
        <v>231</v>
      </c>
      <c r="G202" s="68">
        <f t="shared" ref="G202:Q202" si="159">(G203*100)/$S$203</f>
        <v>3.225806451612903</v>
      </c>
      <c r="H202" s="68">
        <f t="shared" si="159"/>
        <v>12.903225806451612</v>
      </c>
      <c r="I202" s="68">
        <f t="shared" si="159"/>
        <v>22.580645161290324</v>
      </c>
      <c r="J202" s="68">
        <f t="shared" si="159"/>
        <v>32.258064516129032</v>
      </c>
      <c r="K202" s="68">
        <f t="shared" si="159"/>
        <v>41.935483870967744</v>
      </c>
      <c r="L202" s="68">
        <f t="shared" si="159"/>
        <v>51.612903225806448</v>
      </c>
      <c r="M202" s="68">
        <f t="shared" si="159"/>
        <v>61.29032258064516</v>
      </c>
      <c r="N202" s="68">
        <f t="shared" si="159"/>
        <v>70.967741935483872</v>
      </c>
      <c r="O202" s="68">
        <f t="shared" si="159"/>
        <v>80.645161290322577</v>
      </c>
      <c r="P202" s="68">
        <f t="shared" si="159"/>
        <v>90.322580645161295</v>
      </c>
      <c r="Q202" s="68">
        <f t="shared" si="159"/>
        <v>100</v>
      </c>
      <c r="R202" s="35">
        <v>100</v>
      </c>
      <c r="S202" s="22"/>
      <c r="T202" s="24"/>
      <c r="U202" s="24"/>
      <c r="V202" s="24"/>
      <c r="W202" s="24"/>
      <c r="X202" s="24"/>
      <c r="Y202" s="24"/>
      <c r="Z202" s="24"/>
      <c r="AA202" s="103"/>
      <c r="AB202" s="103"/>
      <c r="AC202" s="103"/>
      <c r="AD202" s="103"/>
    </row>
    <row r="203" spans="1:30" s="25" customFormat="1" ht="23.25" hidden="1" customHeight="1" x14ac:dyDescent="0.2">
      <c r="A203" s="83"/>
      <c r="B203" s="20"/>
      <c r="C203" s="20"/>
      <c r="D203" s="20"/>
      <c r="E203" s="20"/>
      <c r="F203" s="24"/>
      <c r="G203" s="24">
        <f>SUM(G204:G207)</f>
        <v>1</v>
      </c>
      <c r="H203" s="24">
        <f>G203+(SUM(H204:H207))</f>
        <v>4</v>
      </c>
      <c r="I203" s="24">
        <f>H203+(SUM(I204:I207))</f>
        <v>7</v>
      </c>
      <c r="J203" s="24">
        <f>I203+(SUM(J204:J207))</f>
        <v>10</v>
      </c>
      <c r="K203" s="24">
        <f t="shared" ref="K203:Q203" si="160">J203+SUM(K204:K207)</f>
        <v>13</v>
      </c>
      <c r="L203" s="24">
        <f t="shared" si="160"/>
        <v>16</v>
      </c>
      <c r="M203" s="24">
        <f t="shared" si="160"/>
        <v>19</v>
      </c>
      <c r="N203" s="24">
        <f t="shared" si="160"/>
        <v>22</v>
      </c>
      <c r="O203" s="24">
        <f t="shared" si="160"/>
        <v>25</v>
      </c>
      <c r="P203" s="24">
        <f t="shared" si="160"/>
        <v>28</v>
      </c>
      <c r="Q203" s="24">
        <f t="shared" si="160"/>
        <v>31</v>
      </c>
      <c r="R203" s="35"/>
      <c r="S203" s="22">
        <v>31</v>
      </c>
      <c r="T203" s="24"/>
      <c r="U203" s="24"/>
      <c r="V203" s="24"/>
      <c r="W203" s="24"/>
      <c r="X203" s="24"/>
      <c r="Y203" s="24"/>
      <c r="Z203" s="24"/>
      <c r="AA203" s="103"/>
      <c r="AB203" s="103"/>
      <c r="AC203" s="103"/>
      <c r="AD203" s="103"/>
    </row>
    <row r="204" spans="1:30" s="25" customFormat="1" x14ac:dyDescent="0.2">
      <c r="A204" s="83"/>
      <c r="B204" s="113" t="s">
        <v>232</v>
      </c>
      <c r="C204" s="114"/>
      <c r="D204" s="114"/>
      <c r="E204" s="115"/>
      <c r="F204" s="24"/>
      <c r="G204" s="70">
        <v>1</v>
      </c>
      <c r="H204" s="70">
        <v>1</v>
      </c>
      <c r="I204" s="70">
        <v>1</v>
      </c>
      <c r="J204" s="70">
        <v>1</v>
      </c>
      <c r="K204" s="70">
        <v>1</v>
      </c>
      <c r="L204" s="70">
        <v>1</v>
      </c>
      <c r="M204" s="70">
        <v>1</v>
      </c>
      <c r="N204" s="70">
        <v>1</v>
      </c>
      <c r="O204" s="70">
        <v>1</v>
      </c>
      <c r="P204" s="70">
        <v>1</v>
      </c>
      <c r="Q204" s="24"/>
      <c r="R204" s="35"/>
      <c r="S204" s="22">
        <f>SUM(G204:R204)</f>
        <v>10</v>
      </c>
      <c r="T204" s="24"/>
      <c r="U204" s="24"/>
      <c r="V204" s="24"/>
      <c r="W204" s="24"/>
      <c r="X204" s="24"/>
      <c r="Y204" s="24"/>
      <c r="Z204" s="24"/>
      <c r="AA204" s="103"/>
      <c r="AB204" s="103"/>
      <c r="AC204" s="103"/>
      <c r="AD204" s="103"/>
    </row>
    <row r="205" spans="1:30" s="25" customFormat="1" x14ac:dyDescent="0.2">
      <c r="A205" s="83"/>
      <c r="B205" s="113" t="s">
        <v>233</v>
      </c>
      <c r="C205" s="114"/>
      <c r="D205" s="114"/>
      <c r="E205" s="115"/>
      <c r="F205" s="24"/>
      <c r="G205" s="24"/>
      <c r="H205" s="70">
        <v>1</v>
      </c>
      <c r="I205" s="70">
        <v>1</v>
      </c>
      <c r="J205" s="70">
        <v>1</v>
      </c>
      <c r="K205" s="70">
        <v>1</v>
      </c>
      <c r="L205" s="70">
        <v>1</v>
      </c>
      <c r="M205" s="70">
        <v>1</v>
      </c>
      <c r="N205" s="70">
        <v>1</v>
      </c>
      <c r="O205" s="70">
        <v>1</v>
      </c>
      <c r="P205" s="70">
        <v>1</v>
      </c>
      <c r="Q205" s="70">
        <v>1</v>
      </c>
      <c r="R205" s="24"/>
      <c r="S205" s="22">
        <f>SUM(G205:R205)</f>
        <v>10</v>
      </c>
      <c r="T205" s="24"/>
      <c r="U205" s="24"/>
      <c r="V205" s="24"/>
      <c r="W205" s="24"/>
      <c r="X205" s="24"/>
      <c r="Y205" s="24"/>
      <c r="Z205" s="24"/>
      <c r="AA205" s="103"/>
      <c r="AB205" s="103"/>
      <c r="AC205" s="103"/>
      <c r="AD205" s="103"/>
    </row>
    <row r="206" spans="1:30" s="25" customFormat="1" x14ac:dyDescent="0.2">
      <c r="A206" s="83"/>
      <c r="B206" s="116" t="s">
        <v>234</v>
      </c>
      <c r="C206" s="117"/>
      <c r="D206" s="117"/>
      <c r="E206" s="118"/>
      <c r="F206" s="24"/>
      <c r="G206" s="24"/>
      <c r="H206" s="70">
        <v>1</v>
      </c>
      <c r="I206" s="70">
        <v>1</v>
      </c>
      <c r="J206" s="70">
        <v>1</v>
      </c>
      <c r="K206" s="70">
        <v>1</v>
      </c>
      <c r="L206" s="70">
        <v>1</v>
      </c>
      <c r="M206" s="70">
        <v>1</v>
      </c>
      <c r="N206" s="70">
        <v>1</v>
      </c>
      <c r="O206" s="70">
        <v>1</v>
      </c>
      <c r="P206" s="70">
        <v>1</v>
      </c>
      <c r="Q206" s="70">
        <v>1</v>
      </c>
      <c r="R206" s="24"/>
      <c r="S206" s="22">
        <f>SUM(G206:R206)</f>
        <v>10</v>
      </c>
      <c r="T206" s="24"/>
      <c r="U206" s="24"/>
      <c r="V206" s="24"/>
      <c r="W206" s="24"/>
      <c r="X206" s="24"/>
      <c r="Y206" s="24"/>
      <c r="Z206" s="24"/>
      <c r="AA206" s="103"/>
      <c r="AB206" s="103"/>
      <c r="AC206" s="103"/>
      <c r="AD206" s="103"/>
    </row>
    <row r="207" spans="1:30" s="25" customFormat="1" x14ac:dyDescent="0.2">
      <c r="A207" s="83"/>
      <c r="B207" s="116" t="s">
        <v>235</v>
      </c>
      <c r="C207" s="117"/>
      <c r="D207" s="117"/>
      <c r="E207" s="118"/>
      <c r="F207" s="46" t="s">
        <v>236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70">
        <v>1</v>
      </c>
      <c r="R207" s="24"/>
      <c r="S207" s="22">
        <f>SUM(G207:R207)</f>
        <v>1</v>
      </c>
      <c r="T207" s="24"/>
      <c r="U207" s="24"/>
      <c r="V207" s="24"/>
      <c r="W207" s="24"/>
      <c r="X207" s="24"/>
      <c r="Y207" s="24"/>
      <c r="Z207" s="24"/>
      <c r="AA207" s="103"/>
      <c r="AB207" s="103"/>
      <c r="AC207" s="103"/>
      <c r="AD207" s="103"/>
    </row>
    <row r="208" spans="1:30" s="25" customFormat="1" ht="22" customHeight="1" x14ac:dyDescent="0.4">
      <c r="A208" s="83"/>
      <c r="B208" s="102" t="s">
        <v>237</v>
      </c>
      <c r="C208" s="102"/>
      <c r="D208" s="102"/>
      <c r="E208" s="102"/>
      <c r="F208" s="46"/>
      <c r="G208" s="24"/>
      <c r="H208" s="24"/>
      <c r="I208" s="24"/>
      <c r="J208" s="24"/>
      <c r="K208" s="24"/>
      <c r="L208" s="24"/>
      <c r="M208" s="24"/>
      <c r="N208" s="24"/>
      <c r="O208" s="24"/>
      <c r="P208" s="68">
        <f>(P209*100)/$S$209</f>
        <v>50</v>
      </c>
      <c r="Q208" s="68">
        <f>(Q209*100)/$S$209</f>
        <v>80</v>
      </c>
      <c r="R208" s="68">
        <f>(R209*100)/$S$209</f>
        <v>100</v>
      </c>
      <c r="S208" s="22"/>
      <c r="T208" s="24"/>
      <c r="U208" s="24"/>
      <c r="V208" s="24"/>
      <c r="W208" s="24"/>
      <c r="X208" s="24"/>
      <c r="Y208" s="24"/>
      <c r="Z208" s="24"/>
      <c r="AA208" s="103"/>
      <c r="AB208" s="103"/>
      <c r="AC208" s="103"/>
      <c r="AD208" s="103"/>
    </row>
    <row r="209" spans="1:30" s="25" customFormat="1" ht="23.25" hidden="1" customHeight="1" x14ac:dyDescent="0.2">
      <c r="A209" s="83"/>
      <c r="B209" s="49"/>
      <c r="C209" s="49"/>
      <c r="D209" s="49"/>
      <c r="E209" s="49"/>
      <c r="F209" s="46"/>
      <c r="G209" s="24"/>
      <c r="H209" s="24"/>
      <c r="I209" s="24"/>
      <c r="J209" s="24"/>
      <c r="K209" s="24"/>
      <c r="L209" s="24"/>
      <c r="M209" s="24"/>
      <c r="N209" s="24"/>
      <c r="O209" s="24"/>
      <c r="P209" s="24">
        <f>SUM(P210:P218)</f>
        <v>5</v>
      </c>
      <c r="Q209" s="24">
        <f>P209+SUM(Q210:Q218)</f>
        <v>8</v>
      </c>
      <c r="R209" s="24">
        <f>Q209+SUM(R210:R218)</f>
        <v>10</v>
      </c>
      <c r="S209" s="22">
        <v>10</v>
      </c>
      <c r="T209" s="24"/>
      <c r="U209" s="24"/>
      <c r="V209" s="24"/>
      <c r="W209" s="24"/>
      <c r="X209" s="24"/>
      <c r="Y209" s="24"/>
      <c r="Z209" s="24"/>
      <c r="AA209" s="103"/>
      <c r="AB209" s="103"/>
      <c r="AC209" s="103"/>
      <c r="AD209" s="103"/>
    </row>
    <row r="210" spans="1:30" s="25" customFormat="1" x14ac:dyDescent="0.2">
      <c r="A210" s="83"/>
      <c r="B210" s="110" t="s">
        <v>238</v>
      </c>
      <c r="C210" s="111"/>
      <c r="D210" s="111"/>
      <c r="E210" s="112"/>
      <c r="F210" s="46"/>
      <c r="G210" s="24"/>
      <c r="H210" s="24"/>
      <c r="I210" s="24"/>
      <c r="J210" s="24"/>
      <c r="K210" s="24"/>
      <c r="L210" s="24"/>
      <c r="M210" s="24"/>
      <c r="N210" s="24"/>
      <c r="O210" s="24"/>
      <c r="P210" s="70">
        <v>1</v>
      </c>
      <c r="Q210" s="24"/>
      <c r="R210" s="24"/>
      <c r="S210" s="22">
        <f t="shared" ref="S210:S218" si="161">SUM(G210:R210)</f>
        <v>1</v>
      </c>
      <c r="T210" s="24"/>
      <c r="U210" s="24"/>
      <c r="V210" s="24"/>
      <c r="W210" s="24"/>
      <c r="X210" s="24"/>
      <c r="Y210" s="24"/>
      <c r="Z210" s="24"/>
      <c r="AA210" s="103"/>
      <c r="AB210" s="103"/>
      <c r="AC210" s="103"/>
      <c r="AD210" s="103"/>
    </row>
    <row r="211" spans="1:30" s="25" customFormat="1" x14ac:dyDescent="0.2">
      <c r="A211" s="83"/>
      <c r="B211" s="110" t="s">
        <v>239</v>
      </c>
      <c r="C211" s="111"/>
      <c r="D211" s="111"/>
      <c r="E211" s="112"/>
      <c r="F211" s="46"/>
      <c r="G211" s="24"/>
      <c r="H211" s="24"/>
      <c r="I211" s="24"/>
      <c r="J211" s="24"/>
      <c r="K211" s="24"/>
      <c r="L211" s="24"/>
      <c r="M211" s="24"/>
      <c r="N211" s="24"/>
      <c r="O211" s="24"/>
      <c r="P211" s="70">
        <v>1</v>
      </c>
      <c r="Q211" s="24"/>
      <c r="R211" s="24"/>
      <c r="S211" s="22">
        <f t="shared" si="161"/>
        <v>1</v>
      </c>
      <c r="T211" s="24"/>
      <c r="U211" s="24"/>
      <c r="V211" s="24"/>
      <c r="W211" s="24"/>
      <c r="X211" s="24"/>
      <c r="Y211" s="24"/>
      <c r="Z211" s="24"/>
      <c r="AA211" s="103"/>
      <c r="AB211" s="103"/>
      <c r="AC211" s="103"/>
      <c r="AD211" s="103"/>
    </row>
    <row r="212" spans="1:30" s="25" customFormat="1" x14ac:dyDescent="0.2">
      <c r="A212" s="83"/>
      <c r="B212" s="110" t="s">
        <v>240</v>
      </c>
      <c r="C212" s="111"/>
      <c r="D212" s="111"/>
      <c r="E212" s="112"/>
      <c r="F212" s="46"/>
      <c r="G212" s="24"/>
      <c r="H212" s="24"/>
      <c r="I212" s="24"/>
      <c r="J212" s="24"/>
      <c r="K212" s="24"/>
      <c r="L212" s="24"/>
      <c r="M212" s="24"/>
      <c r="N212" s="24"/>
      <c r="O212" s="24"/>
      <c r="P212" s="70">
        <v>1</v>
      </c>
      <c r="Q212" s="24"/>
      <c r="R212" s="24"/>
      <c r="S212" s="22">
        <f t="shared" si="161"/>
        <v>1</v>
      </c>
      <c r="T212" s="24"/>
      <c r="U212" s="24"/>
      <c r="V212" s="24"/>
      <c r="W212" s="24"/>
      <c r="X212" s="24"/>
      <c r="Y212" s="24"/>
      <c r="Z212" s="24"/>
      <c r="AA212" s="103"/>
      <c r="AB212" s="103"/>
      <c r="AC212" s="103"/>
      <c r="AD212" s="103"/>
    </row>
    <row r="213" spans="1:30" s="25" customFormat="1" x14ac:dyDescent="0.2">
      <c r="A213" s="83"/>
      <c r="B213" s="110" t="s">
        <v>241</v>
      </c>
      <c r="C213" s="111"/>
      <c r="D213" s="111"/>
      <c r="E213" s="112"/>
      <c r="F213" s="46"/>
      <c r="G213" s="24"/>
      <c r="H213" s="24"/>
      <c r="I213" s="24"/>
      <c r="J213" s="24"/>
      <c r="K213" s="24"/>
      <c r="L213" s="24"/>
      <c r="M213" s="24"/>
      <c r="N213" s="24"/>
      <c r="O213" s="24"/>
      <c r="P213" s="70">
        <v>1</v>
      </c>
      <c r="Q213" s="24"/>
      <c r="R213" s="24"/>
      <c r="S213" s="22">
        <f t="shared" si="161"/>
        <v>1</v>
      </c>
      <c r="T213" s="24"/>
      <c r="U213" s="24"/>
      <c r="V213" s="24"/>
      <c r="W213" s="24"/>
      <c r="X213" s="24"/>
      <c r="Y213" s="24"/>
      <c r="Z213" s="24"/>
      <c r="AA213" s="103"/>
      <c r="AB213" s="103"/>
      <c r="AC213" s="103"/>
      <c r="AD213" s="103"/>
    </row>
    <row r="214" spans="1:30" s="25" customFormat="1" x14ac:dyDescent="0.2">
      <c r="A214" s="83"/>
      <c r="B214" s="110" t="s">
        <v>242</v>
      </c>
      <c r="C214" s="111"/>
      <c r="D214" s="111"/>
      <c r="E214" s="112"/>
      <c r="F214" s="46"/>
      <c r="G214" s="24"/>
      <c r="H214" s="24"/>
      <c r="I214" s="24"/>
      <c r="J214" s="24"/>
      <c r="K214" s="24"/>
      <c r="L214" s="24"/>
      <c r="M214" s="24"/>
      <c r="N214" s="24"/>
      <c r="O214" s="24"/>
      <c r="P214" s="70">
        <v>1</v>
      </c>
      <c r="Q214" s="70">
        <v>1</v>
      </c>
      <c r="R214" s="24"/>
      <c r="S214" s="22">
        <f t="shared" si="161"/>
        <v>2</v>
      </c>
      <c r="T214" s="24"/>
      <c r="U214" s="24"/>
      <c r="V214" s="24"/>
      <c r="W214" s="24"/>
      <c r="X214" s="24"/>
      <c r="Y214" s="24"/>
      <c r="Z214" s="24"/>
      <c r="AA214" s="103"/>
      <c r="AB214" s="103"/>
      <c r="AC214" s="103"/>
      <c r="AD214" s="103"/>
    </row>
    <row r="215" spans="1:30" s="25" customFormat="1" x14ac:dyDescent="0.2">
      <c r="A215" s="83"/>
      <c r="B215" s="107" t="s">
        <v>243</v>
      </c>
      <c r="C215" s="108"/>
      <c r="D215" s="108"/>
      <c r="E215" s="109"/>
      <c r="F215" s="4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70">
        <v>1</v>
      </c>
      <c r="R215" s="24"/>
      <c r="S215" s="22">
        <f t="shared" si="161"/>
        <v>1</v>
      </c>
      <c r="T215" s="24"/>
      <c r="U215" s="24"/>
      <c r="V215" s="24"/>
      <c r="W215" s="24"/>
      <c r="X215" s="24"/>
      <c r="Y215" s="24"/>
      <c r="Z215" s="24"/>
      <c r="AA215" s="103"/>
      <c r="AB215" s="103"/>
      <c r="AC215" s="103"/>
      <c r="AD215" s="103"/>
    </row>
    <row r="216" spans="1:30" s="25" customFormat="1" x14ac:dyDescent="0.2">
      <c r="A216" s="83"/>
      <c r="B216" s="107" t="s">
        <v>244</v>
      </c>
      <c r="C216" s="108"/>
      <c r="D216" s="108"/>
      <c r="E216" s="109"/>
      <c r="F216" s="4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70">
        <v>1</v>
      </c>
      <c r="R216" s="24"/>
      <c r="S216" s="22">
        <f t="shared" si="161"/>
        <v>1</v>
      </c>
      <c r="T216" s="24"/>
      <c r="U216" s="24"/>
      <c r="V216" s="24"/>
      <c r="W216" s="24"/>
      <c r="X216" s="24"/>
      <c r="Y216" s="24"/>
      <c r="Z216" s="24"/>
      <c r="AA216" s="103"/>
      <c r="AB216" s="103"/>
      <c r="AC216" s="103"/>
      <c r="AD216" s="103"/>
    </row>
    <row r="217" spans="1:30" s="25" customFormat="1" x14ac:dyDescent="0.2">
      <c r="A217" s="83"/>
      <c r="B217" s="107" t="s">
        <v>245</v>
      </c>
      <c r="C217" s="108"/>
      <c r="D217" s="108"/>
      <c r="E217" s="109"/>
      <c r="F217" s="4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70">
        <v>1</v>
      </c>
      <c r="S217" s="22">
        <f t="shared" si="161"/>
        <v>1</v>
      </c>
      <c r="T217" s="24"/>
      <c r="U217" s="24"/>
      <c r="V217" s="24"/>
      <c r="W217" s="24"/>
      <c r="X217" s="24"/>
      <c r="Y217" s="24"/>
      <c r="Z217" s="24"/>
      <c r="AA217" s="103"/>
      <c r="AB217" s="103"/>
      <c r="AC217" s="103"/>
      <c r="AD217" s="103"/>
    </row>
    <row r="218" spans="1:30" s="25" customFormat="1" x14ac:dyDescent="0.2">
      <c r="A218" s="83"/>
      <c r="B218" s="107" t="s">
        <v>246</v>
      </c>
      <c r="C218" s="108"/>
      <c r="D218" s="108"/>
      <c r="E218" s="109"/>
      <c r="F218" s="4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70">
        <v>1</v>
      </c>
      <c r="S218" s="22">
        <f t="shared" si="161"/>
        <v>1</v>
      </c>
      <c r="T218" s="24"/>
      <c r="U218" s="24"/>
      <c r="V218" s="24"/>
      <c r="W218" s="24"/>
      <c r="X218" s="24"/>
      <c r="Y218" s="24"/>
      <c r="Z218" s="24"/>
      <c r="AA218" s="103"/>
      <c r="AB218" s="103"/>
      <c r="AC218" s="103"/>
      <c r="AD218" s="103"/>
    </row>
    <row r="219" spans="1:30" ht="28" customHeight="1" x14ac:dyDescent="0.2">
      <c r="A219" s="92" t="s">
        <v>247</v>
      </c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4"/>
      <c r="AA219" s="54"/>
      <c r="AB219" s="54"/>
      <c r="AC219" s="54"/>
      <c r="AD219" s="54"/>
    </row>
    <row r="220" spans="1:30" s="19" customFormat="1" ht="28" customHeight="1" x14ac:dyDescent="0.2">
      <c r="A220" s="12"/>
      <c r="B220" s="12"/>
      <c r="C220" s="12"/>
      <c r="D220" s="12"/>
      <c r="E220" s="12"/>
      <c r="F220" s="13"/>
      <c r="G220" s="28">
        <f>(G221+G224+G227+G230+G233)*100/$S$220</f>
        <v>8.3333333333333339</v>
      </c>
      <c r="H220" s="28">
        <f t="shared" ref="H220:Q220" si="162">(H221+H224+H227+H230+H233)*100/$S$220</f>
        <v>16.666666666666668</v>
      </c>
      <c r="I220" s="28">
        <f t="shared" si="162"/>
        <v>25</v>
      </c>
      <c r="J220" s="28">
        <f t="shared" si="162"/>
        <v>33.333333333333336</v>
      </c>
      <c r="K220" s="28">
        <f t="shared" si="162"/>
        <v>41.666666666666664</v>
      </c>
      <c r="L220" s="28">
        <f t="shared" si="162"/>
        <v>50</v>
      </c>
      <c r="M220" s="28">
        <f t="shared" si="162"/>
        <v>58.333333333333336</v>
      </c>
      <c r="N220" s="28">
        <f t="shared" si="162"/>
        <v>66.666666666666671</v>
      </c>
      <c r="O220" s="28">
        <f t="shared" si="162"/>
        <v>75</v>
      </c>
      <c r="P220" s="28">
        <f t="shared" si="162"/>
        <v>83.333333333333329</v>
      </c>
      <c r="Q220" s="28">
        <f t="shared" si="162"/>
        <v>91.666666666666671</v>
      </c>
      <c r="R220" s="28">
        <f>(R221+R224+R227+R230+R233)*100/$S$220</f>
        <v>100</v>
      </c>
      <c r="S220" s="14">
        <v>500</v>
      </c>
      <c r="T220" s="15"/>
      <c r="U220" s="16" t="s">
        <v>28</v>
      </c>
      <c r="V220" s="17"/>
      <c r="W220" s="17"/>
      <c r="X220" s="17"/>
      <c r="Y220" s="17"/>
      <c r="Z220" s="18"/>
      <c r="AA220" s="55"/>
      <c r="AB220" s="55"/>
      <c r="AC220" s="55"/>
      <c r="AD220" s="55"/>
    </row>
    <row r="221" spans="1:30" x14ac:dyDescent="0.2">
      <c r="A221" s="82"/>
      <c r="B221" s="85" t="s">
        <v>248</v>
      </c>
      <c r="C221" s="85"/>
      <c r="D221" s="85"/>
      <c r="E221" s="85"/>
      <c r="F221" s="21"/>
      <c r="G221" s="80">
        <f>(G222*100)/$S$7</f>
        <v>8.3333333333333339</v>
      </c>
      <c r="H221" s="80">
        <f t="shared" ref="H221:M221" si="163">(H222*100)/$S$7</f>
        <v>16.666666666666668</v>
      </c>
      <c r="I221" s="80">
        <f t="shared" si="163"/>
        <v>25</v>
      </c>
      <c r="J221" s="80">
        <f t="shared" si="163"/>
        <v>33.333333333333336</v>
      </c>
      <c r="K221" s="80">
        <f t="shared" si="163"/>
        <v>41.666666666666664</v>
      </c>
      <c r="L221" s="80">
        <f t="shared" si="163"/>
        <v>50</v>
      </c>
      <c r="M221" s="80">
        <f t="shared" si="163"/>
        <v>58.333333333333336</v>
      </c>
      <c r="N221" s="80">
        <f>(N222*100)/$S$7</f>
        <v>66.666666666666671</v>
      </c>
      <c r="O221" s="80">
        <f t="shared" ref="O221:Q221" si="164">(O222*100)/$S$7</f>
        <v>75</v>
      </c>
      <c r="P221" s="80">
        <f t="shared" si="164"/>
        <v>83.333333333333329</v>
      </c>
      <c r="Q221" s="80">
        <f t="shared" si="164"/>
        <v>91.666666666666671</v>
      </c>
      <c r="R221" s="80">
        <f>(R222*100)/$S$7</f>
        <v>100</v>
      </c>
      <c r="S221" s="22"/>
      <c r="T221" s="22"/>
      <c r="U221" s="22"/>
      <c r="V221" s="22"/>
      <c r="W221" s="22"/>
      <c r="X221" s="22"/>
      <c r="Y221" s="22"/>
      <c r="Z221" s="22"/>
      <c r="AA221" s="86"/>
      <c r="AB221" s="87"/>
      <c r="AC221" s="88"/>
      <c r="AD221" s="88"/>
    </row>
    <row r="222" spans="1:30" ht="22" hidden="1" customHeight="1" x14ac:dyDescent="0.2">
      <c r="A222" s="83"/>
      <c r="B222" s="20"/>
      <c r="C222" s="20"/>
      <c r="D222" s="20"/>
      <c r="E222" s="20"/>
      <c r="F222" s="21"/>
      <c r="G222" s="77">
        <f>G223</f>
        <v>1</v>
      </c>
      <c r="H222" s="77">
        <f>G222+H223</f>
        <v>2</v>
      </c>
      <c r="I222" s="77">
        <f t="shared" ref="I222" si="165">H222+I223</f>
        <v>3</v>
      </c>
      <c r="J222" s="77">
        <f t="shared" ref="J222" si="166">I222+J223</f>
        <v>4</v>
      </c>
      <c r="K222" s="77">
        <f t="shared" ref="K222" si="167">J222+K223</f>
        <v>5</v>
      </c>
      <c r="L222" s="77">
        <f t="shared" ref="L222" si="168">K222+L223</f>
        <v>6</v>
      </c>
      <c r="M222" s="77">
        <f t="shared" ref="M222" si="169">L222+M223</f>
        <v>7</v>
      </c>
      <c r="N222" s="77">
        <f t="shared" ref="N222" si="170">M222+N223</f>
        <v>8</v>
      </c>
      <c r="O222" s="77">
        <f t="shared" ref="O222" si="171">N222+O223</f>
        <v>9</v>
      </c>
      <c r="P222" s="77">
        <f t="shared" ref="P222" si="172">O222+P223</f>
        <v>10</v>
      </c>
      <c r="Q222" s="77">
        <f t="shared" ref="Q222" si="173">P222+Q223</f>
        <v>11</v>
      </c>
      <c r="R222" s="77">
        <f t="shared" ref="R222" si="174">Q222+R223</f>
        <v>12</v>
      </c>
      <c r="S222" s="22">
        <f>R222</f>
        <v>12</v>
      </c>
      <c r="T222" s="22"/>
      <c r="U222" s="22"/>
      <c r="V222" s="22"/>
      <c r="W222" s="22"/>
      <c r="X222" s="22"/>
      <c r="Y222" s="22"/>
      <c r="Z222" s="22"/>
      <c r="AA222" s="86"/>
      <c r="AB222" s="87"/>
      <c r="AC222" s="89"/>
      <c r="AD222" s="89"/>
    </row>
    <row r="223" spans="1:30" ht="25" customHeight="1" x14ac:dyDescent="0.2">
      <c r="A223" s="83"/>
      <c r="B223" s="90"/>
      <c r="C223" s="90"/>
      <c r="D223" s="90"/>
      <c r="E223" s="90"/>
      <c r="F223" s="21"/>
      <c r="G223" s="69">
        <v>1</v>
      </c>
      <c r="H223" s="69">
        <v>1</v>
      </c>
      <c r="I223" s="69">
        <v>1</v>
      </c>
      <c r="J223" s="69">
        <v>1</v>
      </c>
      <c r="K223" s="69">
        <v>1</v>
      </c>
      <c r="L223" s="69">
        <v>1</v>
      </c>
      <c r="M223" s="69">
        <v>1</v>
      </c>
      <c r="N223" s="69">
        <v>1</v>
      </c>
      <c r="O223" s="69">
        <v>1</v>
      </c>
      <c r="P223" s="69">
        <v>1</v>
      </c>
      <c r="Q223" s="69">
        <v>1</v>
      </c>
      <c r="R223" s="69">
        <v>1</v>
      </c>
      <c r="S223" s="22">
        <f>SUM(G223:R223)</f>
        <v>12</v>
      </c>
      <c r="T223" s="22"/>
      <c r="U223" s="22"/>
      <c r="V223" s="22"/>
      <c r="W223" s="22"/>
      <c r="X223" s="22"/>
      <c r="Y223" s="22"/>
      <c r="Z223" s="22"/>
      <c r="AA223" s="86"/>
      <c r="AB223" s="87"/>
      <c r="AC223" s="89"/>
      <c r="AD223" s="89"/>
    </row>
    <row r="224" spans="1:30" s="25" customFormat="1" x14ac:dyDescent="0.2">
      <c r="A224" s="83"/>
      <c r="B224" s="85" t="s">
        <v>249</v>
      </c>
      <c r="C224" s="85"/>
      <c r="D224" s="85"/>
      <c r="E224" s="85"/>
      <c r="F224" s="21"/>
      <c r="G224" s="80">
        <f>(G225*100)/$S$7</f>
        <v>8.3333333333333339</v>
      </c>
      <c r="H224" s="80">
        <f t="shared" ref="H224:M224" si="175">(H225*100)/$S$7</f>
        <v>16.666666666666668</v>
      </c>
      <c r="I224" s="80">
        <f t="shared" si="175"/>
        <v>25</v>
      </c>
      <c r="J224" s="80">
        <f t="shared" si="175"/>
        <v>33.333333333333336</v>
      </c>
      <c r="K224" s="80">
        <f t="shared" si="175"/>
        <v>41.666666666666664</v>
      </c>
      <c r="L224" s="80">
        <f t="shared" si="175"/>
        <v>50</v>
      </c>
      <c r="M224" s="80">
        <f t="shared" si="175"/>
        <v>58.333333333333336</v>
      </c>
      <c r="N224" s="80">
        <f>(N225*100)/$S$7</f>
        <v>66.666666666666671</v>
      </c>
      <c r="O224" s="80">
        <f t="shared" ref="O224:Q224" si="176">(O225*100)/$S$7</f>
        <v>75</v>
      </c>
      <c r="P224" s="80">
        <f t="shared" si="176"/>
        <v>83.333333333333329</v>
      </c>
      <c r="Q224" s="80">
        <f t="shared" si="176"/>
        <v>91.666666666666671</v>
      </c>
      <c r="R224" s="80">
        <f>(R225*100)/$S$7</f>
        <v>100</v>
      </c>
      <c r="S224" s="24"/>
      <c r="T224" s="24"/>
      <c r="U224" s="24"/>
      <c r="V224" s="24"/>
      <c r="W224" s="24"/>
      <c r="X224" s="24"/>
      <c r="Y224" s="24"/>
      <c r="Z224" s="24"/>
      <c r="AA224" s="87"/>
      <c r="AB224" s="88"/>
      <c r="AC224" s="88"/>
      <c r="AD224" s="88"/>
    </row>
    <row r="225" spans="1:30" s="25" customFormat="1" ht="26" hidden="1" customHeight="1" x14ac:dyDescent="0.2">
      <c r="A225" s="83"/>
      <c r="B225" s="20"/>
      <c r="C225" s="20"/>
      <c r="D225" s="20"/>
      <c r="E225" s="20"/>
      <c r="F225" s="21"/>
      <c r="G225" s="77">
        <f>G226</f>
        <v>1</v>
      </c>
      <c r="H225" s="77">
        <f>G225+H226</f>
        <v>2</v>
      </c>
      <c r="I225" s="77">
        <f t="shared" ref="I225" si="177">H225+I226</f>
        <v>3</v>
      </c>
      <c r="J225" s="77">
        <f t="shared" ref="J225" si="178">I225+J226</f>
        <v>4</v>
      </c>
      <c r="K225" s="77">
        <f t="shared" ref="K225" si="179">J225+K226</f>
        <v>5</v>
      </c>
      <c r="L225" s="77">
        <f t="shared" ref="L225" si="180">K225+L226</f>
        <v>6</v>
      </c>
      <c r="M225" s="77">
        <f t="shared" ref="M225" si="181">L225+M226</f>
        <v>7</v>
      </c>
      <c r="N225" s="77">
        <f t="shared" ref="N225" si="182">M225+N226</f>
        <v>8</v>
      </c>
      <c r="O225" s="77">
        <f t="shared" ref="O225" si="183">N225+O226</f>
        <v>9</v>
      </c>
      <c r="P225" s="77">
        <f t="shared" ref="P225" si="184">O225+P226</f>
        <v>10</v>
      </c>
      <c r="Q225" s="77">
        <f t="shared" ref="Q225" si="185">P225+Q226</f>
        <v>11</v>
      </c>
      <c r="R225" s="77">
        <f t="shared" ref="R225" si="186">Q225+R226</f>
        <v>12</v>
      </c>
      <c r="S225" s="22">
        <f>R225</f>
        <v>12</v>
      </c>
      <c r="T225" s="24"/>
      <c r="U225" s="24"/>
      <c r="V225" s="24"/>
      <c r="W225" s="24"/>
      <c r="X225" s="24"/>
      <c r="Y225" s="24"/>
      <c r="Z225" s="24"/>
      <c r="AA225" s="87"/>
      <c r="AB225" s="89"/>
      <c r="AC225" s="89"/>
      <c r="AD225" s="89"/>
    </row>
    <row r="226" spans="1:30" s="25" customFormat="1" ht="21" customHeight="1" x14ac:dyDescent="0.2">
      <c r="A226" s="83"/>
      <c r="B226" s="95"/>
      <c r="C226" s="96"/>
      <c r="D226" s="96"/>
      <c r="E226" s="97"/>
      <c r="F226" s="21"/>
      <c r="G226" s="69">
        <v>1</v>
      </c>
      <c r="H226" s="69">
        <v>1</v>
      </c>
      <c r="I226" s="69">
        <v>1</v>
      </c>
      <c r="J226" s="69">
        <v>1</v>
      </c>
      <c r="K226" s="69">
        <v>1</v>
      </c>
      <c r="L226" s="69">
        <v>1</v>
      </c>
      <c r="M226" s="69">
        <v>1</v>
      </c>
      <c r="N226" s="69">
        <v>1</v>
      </c>
      <c r="O226" s="69">
        <v>1</v>
      </c>
      <c r="P226" s="69">
        <v>1</v>
      </c>
      <c r="Q226" s="69">
        <v>1</v>
      </c>
      <c r="R226" s="69">
        <v>1</v>
      </c>
      <c r="S226" s="22">
        <f t="shared" ref="S226" si="187">SUM(G226:R226)</f>
        <v>12</v>
      </c>
      <c r="T226" s="24"/>
      <c r="U226" s="24"/>
      <c r="V226" s="24"/>
      <c r="W226" s="24"/>
      <c r="X226" s="24"/>
      <c r="Y226" s="24"/>
      <c r="Z226" s="24"/>
      <c r="AA226" s="87"/>
      <c r="AB226" s="89"/>
      <c r="AC226" s="89"/>
      <c r="AD226" s="89"/>
    </row>
    <row r="227" spans="1:30" s="25" customFormat="1" ht="49" customHeight="1" x14ac:dyDescent="0.2">
      <c r="A227" s="83"/>
      <c r="B227" s="85" t="s">
        <v>250</v>
      </c>
      <c r="C227" s="85"/>
      <c r="D227" s="85"/>
      <c r="E227" s="85"/>
      <c r="F227" s="21"/>
      <c r="G227" s="80">
        <f>(G228*100)/$S$7</f>
        <v>8.3333333333333339</v>
      </c>
      <c r="H227" s="80">
        <f t="shared" ref="H227:M227" si="188">(H228*100)/$S$7</f>
        <v>16.666666666666668</v>
      </c>
      <c r="I227" s="80">
        <f t="shared" si="188"/>
        <v>25</v>
      </c>
      <c r="J227" s="80">
        <f t="shared" si="188"/>
        <v>33.333333333333336</v>
      </c>
      <c r="K227" s="80">
        <f t="shared" si="188"/>
        <v>41.666666666666664</v>
      </c>
      <c r="L227" s="80">
        <f t="shared" si="188"/>
        <v>50</v>
      </c>
      <c r="M227" s="80">
        <f t="shared" si="188"/>
        <v>58.333333333333336</v>
      </c>
      <c r="N227" s="80">
        <f>(N228*100)/$S$7</f>
        <v>66.666666666666671</v>
      </c>
      <c r="O227" s="80">
        <f t="shared" ref="O227:Q227" si="189">(O228*100)/$S$7</f>
        <v>75</v>
      </c>
      <c r="P227" s="80">
        <f t="shared" si="189"/>
        <v>83.333333333333329</v>
      </c>
      <c r="Q227" s="80">
        <f t="shared" si="189"/>
        <v>91.666666666666671</v>
      </c>
      <c r="R227" s="80">
        <f>(R228*100)/$S$7</f>
        <v>100</v>
      </c>
      <c r="S227" s="24"/>
      <c r="T227" s="24"/>
      <c r="U227" s="24"/>
      <c r="V227" s="24"/>
      <c r="W227" s="24"/>
      <c r="X227" s="24"/>
      <c r="Y227" s="24"/>
      <c r="Z227" s="24"/>
      <c r="AA227" s="87"/>
      <c r="AB227" s="89"/>
      <c r="AC227" s="89"/>
      <c r="AD227" s="89"/>
    </row>
    <row r="228" spans="1:30" s="25" customFormat="1" ht="10" hidden="1" customHeight="1" x14ac:dyDescent="0.2">
      <c r="A228" s="83"/>
      <c r="B228" s="20"/>
      <c r="C228" s="20"/>
      <c r="D228" s="20"/>
      <c r="E228" s="20"/>
      <c r="F228" s="21"/>
      <c r="G228" s="77">
        <f>G229</f>
        <v>1</v>
      </c>
      <c r="H228" s="77">
        <f>G228+H229</f>
        <v>2</v>
      </c>
      <c r="I228" s="77">
        <f t="shared" ref="I228" si="190">H228+I229</f>
        <v>3</v>
      </c>
      <c r="J228" s="77">
        <f t="shared" ref="J228" si="191">I228+J229</f>
        <v>4</v>
      </c>
      <c r="K228" s="77">
        <f t="shared" ref="K228" si="192">J228+K229</f>
        <v>5</v>
      </c>
      <c r="L228" s="77">
        <f t="shared" ref="L228" si="193">K228+L229</f>
        <v>6</v>
      </c>
      <c r="M228" s="77">
        <f t="shared" ref="M228" si="194">L228+M229</f>
        <v>7</v>
      </c>
      <c r="N228" s="77">
        <f t="shared" ref="N228" si="195">M228+N229</f>
        <v>8</v>
      </c>
      <c r="O228" s="77">
        <f t="shared" ref="O228" si="196">N228+O229</f>
        <v>9</v>
      </c>
      <c r="P228" s="77">
        <f t="shared" ref="P228" si="197">O228+P229</f>
        <v>10</v>
      </c>
      <c r="Q228" s="77">
        <f t="shared" ref="Q228" si="198">P228+Q229</f>
        <v>11</v>
      </c>
      <c r="R228" s="77">
        <f t="shared" ref="R228" si="199">Q228+R229</f>
        <v>12</v>
      </c>
      <c r="S228" s="22">
        <f>R228</f>
        <v>12</v>
      </c>
      <c r="T228" s="24"/>
      <c r="U228" s="24"/>
      <c r="V228" s="24"/>
      <c r="W228" s="24"/>
      <c r="X228" s="24"/>
      <c r="Y228" s="24"/>
      <c r="Z228" s="24"/>
      <c r="AA228" s="56"/>
      <c r="AB228" s="56"/>
      <c r="AC228" s="56"/>
      <c r="AD228" s="56"/>
    </row>
    <row r="229" spans="1:30" ht="25" customHeight="1" x14ac:dyDescent="0.2">
      <c r="A229" s="83"/>
      <c r="B229" s="98"/>
      <c r="C229" s="99"/>
      <c r="D229" s="99"/>
      <c r="E229" s="100"/>
      <c r="F229" s="21"/>
      <c r="G229" s="69">
        <v>1</v>
      </c>
      <c r="H229" s="69">
        <v>1</v>
      </c>
      <c r="I229" s="69">
        <v>1</v>
      </c>
      <c r="J229" s="69">
        <v>1</v>
      </c>
      <c r="K229" s="69">
        <v>1</v>
      </c>
      <c r="L229" s="69">
        <v>1</v>
      </c>
      <c r="M229" s="69">
        <v>1</v>
      </c>
      <c r="N229" s="69">
        <v>1</v>
      </c>
      <c r="O229" s="69">
        <v>1</v>
      </c>
      <c r="P229" s="69">
        <v>1</v>
      </c>
      <c r="Q229" s="69">
        <v>1</v>
      </c>
      <c r="R229" s="69">
        <v>1</v>
      </c>
      <c r="S229" s="22">
        <f t="shared" ref="S229" si="200">SUM(G229:R229)</f>
        <v>12</v>
      </c>
      <c r="T229" s="22"/>
      <c r="U229" s="22"/>
      <c r="V229" s="22"/>
      <c r="W229" s="22"/>
      <c r="X229" s="22"/>
      <c r="Y229" s="22"/>
      <c r="Z229" s="22"/>
      <c r="AA229" s="61"/>
      <c r="AB229" s="58"/>
      <c r="AC229" s="58"/>
      <c r="AD229" s="58"/>
    </row>
    <row r="230" spans="1:30" ht="22" customHeight="1" x14ac:dyDescent="0.2">
      <c r="A230" s="82"/>
      <c r="B230" s="85" t="s">
        <v>251</v>
      </c>
      <c r="C230" s="85"/>
      <c r="D230" s="85"/>
      <c r="E230" s="85"/>
      <c r="F230" s="21"/>
      <c r="G230" s="80">
        <f>(G231*100)/$S$7</f>
        <v>8.3333333333333339</v>
      </c>
      <c r="H230" s="80">
        <f t="shared" ref="H230:M230" si="201">(H231*100)/$S$7</f>
        <v>16.666666666666668</v>
      </c>
      <c r="I230" s="80">
        <f t="shared" si="201"/>
        <v>25</v>
      </c>
      <c r="J230" s="80">
        <f t="shared" si="201"/>
        <v>33.333333333333336</v>
      </c>
      <c r="K230" s="80">
        <f t="shared" si="201"/>
        <v>41.666666666666664</v>
      </c>
      <c r="L230" s="80">
        <f t="shared" si="201"/>
        <v>50</v>
      </c>
      <c r="M230" s="80">
        <f t="shared" si="201"/>
        <v>58.333333333333336</v>
      </c>
      <c r="N230" s="80">
        <f>(N231*100)/$S$7</f>
        <v>66.666666666666671</v>
      </c>
      <c r="O230" s="80">
        <f t="shared" ref="O230:Q230" si="202">(O231*100)/$S$7</f>
        <v>75</v>
      </c>
      <c r="P230" s="80">
        <f t="shared" si="202"/>
        <v>83.333333333333329</v>
      </c>
      <c r="Q230" s="80">
        <f t="shared" si="202"/>
        <v>91.666666666666671</v>
      </c>
      <c r="R230" s="80">
        <f>(R231*100)/$S$7</f>
        <v>100</v>
      </c>
      <c r="S230" s="24"/>
      <c r="T230" s="22"/>
      <c r="U230" s="22"/>
      <c r="V230" s="22"/>
      <c r="W230" s="22"/>
      <c r="X230" s="22"/>
      <c r="Y230" s="22"/>
      <c r="Z230" s="22"/>
      <c r="AA230" s="86"/>
      <c r="AB230" s="87"/>
      <c r="AC230" s="88"/>
      <c r="AD230" s="88"/>
    </row>
    <row r="231" spans="1:30" ht="36" hidden="1" customHeight="1" x14ac:dyDescent="0.2">
      <c r="A231" s="83"/>
      <c r="B231" s="20"/>
      <c r="C231" s="20"/>
      <c r="D231" s="20"/>
      <c r="E231" s="20"/>
      <c r="F231" s="21"/>
      <c r="G231" s="77">
        <f>G232</f>
        <v>1</v>
      </c>
      <c r="H231" s="77">
        <f>G231+H232</f>
        <v>2</v>
      </c>
      <c r="I231" s="77">
        <f t="shared" ref="I231" si="203">H231+I232</f>
        <v>3</v>
      </c>
      <c r="J231" s="77">
        <f t="shared" ref="J231" si="204">I231+J232</f>
        <v>4</v>
      </c>
      <c r="K231" s="77">
        <f t="shared" ref="K231" si="205">J231+K232</f>
        <v>5</v>
      </c>
      <c r="L231" s="77">
        <f t="shared" ref="L231" si="206">K231+L232</f>
        <v>6</v>
      </c>
      <c r="M231" s="77">
        <f t="shared" ref="M231" si="207">L231+M232</f>
        <v>7</v>
      </c>
      <c r="N231" s="77">
        <f t="shared" ref="N231" si="208">M231+N232</f>
        <v>8</v>
      </c>
      <c r="O231" s="77">
        <f t="shared" ref="O231" si="209">N231+O232</f>
        <v>9</v>
      </c>
      <c r="P231" s="77">
        <f t="shared" ref="P231" si="210">O231+P232</f>
        <v>10</v>
      </c>
      <c r="Q231" s="77">
        <f t="shared" ref="Q231" si="211">P231+Q232</f>
        <v>11</v>
      </c>
      <c r="R231" s="77">
        <f t="shared" ref="R231" si="212">Q231+R232</f>
        <v>12</v>
      </c>
      <c r="S231" s="22">
        <f>R231</f>
        <v>12</v>
      </c>
      <c r="T231" s="22"/>
      <c r="U231" s="22"/>
      <c r="V231" s="22"/>
      <c r="W231" s="22"/>
      <c r="X231" s="22"/>
      <c r="Y231" s="22"/>
      <c r="Z231" s="22"/>
      <c r="AA231" s="86"/>
      <c r="AB231" s="87"/>
      <c r="AC231" s="89"/>
      <c r="AD231" s="89"/>
    </row>
    <row r="232" spans="1:30" ht="25" customHeight="1" x14ac:dyDescent="0.2">
      <c r="A232" s="83"/>
      <c r="B232" s="90"/>
      <c r="C232" s="90"/>
      <c r="D232" s="90"/>
      <c r="E232" s="90"/>
      <c r="F232" s="21"/>
      <c r="G232" s="69">
        <v>1</v>
      </c>
      <c r="H232" s="69">
        <v>1</v>
      </c>
      <c r="I232" s="69">
        <v>1</v>
      </c>
      <c r="J232" s="69">
        <v>1</v>
      </c>
      <c r="K232" s="69">
        <v>1</v>
      </c>
      <c r="L232" s="69">
        <v>1</v>
      </c>
      <c r="M232" s="69">
        <v>1</v>
      </c>
      <c r="N232" s="69">
        <v>1</v>
      </c>
      <c r="O232" s="69">
        <v>1</v>
      </c>
      <c r="P232" s="69">
        <v>1</v>
      </c>
      <c r="Q232" s="69">
        <v>1</v>
      </c>
      <c r="R232" s="69">
        <v>1</v>
      </c>
      <c r="S232" s="22">
        <f t="shared" ref="S232" si="213">SUM(G232:R232)</f>
        <v>12</v>
      </c>
      <c r="T232" s="22"/>
      <c r="U232" s="22"/>
      <c r="V232" s="22"/>
      <c r="W232" s="22"/>
      <c r="X232" s="22"/>
      <c r="Y232" s="22"/>
      <c r="Z232" s="22"/>
      <c r="AA232" s="86"/>
      <c r="AB232" s="87"/>
      <c r="AC232" s="89"/>
      <c r="AD232" s="89"/>
    </row>
    <row r="233" spans="1:30" ht="27" customHeight="1" x14ac:dyDescent="0.2">
      <c r="A233" s="83"/>
      <c r="B233" s="85" t="s">
        <v>252</v>
      </c>
      <c r="C233" s="85"/>
      <c r="D233" s="85"/>
      <c r="E233" s="85"/>
      <c r="F233" s="21"/>
      <c r="G233" s="80">
        <f>(G234*100)/$S$7</f>
        <v>8.3333333333333339</v>
      </c>
      <c r="H233" s="80">
        <f t="shared" ref="H233:M233" si="214">(H234*100)/$S$7</f>
        <v>16.666666666666668</v>
      </c>
      <c r="I233" s="80">
        <f t="shared" si="214"/>
        <v>25</v>
      </c>
      <c r="J233" s="80">
        <f t="shared" si="214"/>
        <v>33.333333333333336</v>
      </c>
      <c r="K233" s="80">
        <f t="shared" si="214"/>
        <v>41.666666666666664</v>
      </c>
      <c r="L233" s="80">
        <f t="shared" si="214"/>
        <v>50</v>
      </c>
      <c r="M233" s="80">
        <f t="shared" si="214"/>
        <v>58.333333333333336</v>
      </c>
      <c r="N233" s="80">
        <f>(N234*100)/$S$7</f>
        <v>66.666666666666671</v>
      </c>
      <c r="O233" s="80">
        <f t="shared" ref="O233:Q233" si="215">(O234*100)/$S$7</f>
        <v>75</v>
      </c>
      <c r="P233" s="80">
        <f t="shared" si="215"/>
        <v>83.333333333333329</v>
      </c>
      <c r="Q233" s="80">
        <f t="shared" si="215"/>
        <v>91.666666666666671</v>
      </c>
      <c r="R233" s="80">
        <f>(R234*100)/$S$7</f>
        <v>100</v>
      </c>
      <c r="S233" s="24"/>
      <c r="T233" s="22"/>
      <c r="U233" s="22"/>
      <c r="V233" s="22"/>
      <c r="W233" s="22"/>
      <c r="X233" s="22"/>
      <c r="Y233" s="22"/>
      <c r="Z233" s="22"/>
      <c r="AA233" s="60"/>
      <c r="AB233" s="61"/>
      <c r="AC233" s="59"/>
      <c r="AD233" s="59"/>
    </row>
    <row r="234" spans="1:30" ht="23.25" hidden="1" customHeight="1" x14ac:dyDescent="0.2">
      <c r="A234" s="83"/>
      <c r="B234" s="20"/>
      <c r="C234" s="20"/>
      <c r="D234" s="20"/>
      <c r="E234" s="20"/>
      <c r="F234" s="21"/>
      <c r="G234" s="77">
        <f>G235</f>
        <v>1</v>
      </c>
      <c r="H234" s="77">
        <f>G234+H235</f>
        <v>2</v>
      </c>
      <c r="I234" s="77">
        <f t="shared" ref="I234" si="216">H234+I235</f>
        <v>3</v>
      </c>
      <c r="J234" s="77">
        <f t="shared" ref="J234" si="217">I234+J235</f>
        <v>4</v>
      </c>
      <c r="K234" s="77">
        <f t="shared" ref="K234" si="218">J234+K235</f>
        <v>5</v>
      </c>
      <c r="L234" s="77">
        <f t="shared" ref="L234" si="219">K234+L235</f>
        <v>6</v>
      </c>
      <c r="M234" s="77">
        <f t="shared" ref="M234" si="220">L234+M235</f>
        <v>7</v>
      </c>
      <c r="N234" s="77">
        <f t="shared" ref="N234" si="221">M234+N235</f>
        <v>8</v>
      </c>
      <c r="O234" s="77">
        <f t="shared" ref="O234" si="222">N234+O235</f>
        <v>9</v>
      </c>
      <c r="P234" s="77">
        <f t="shared" ref="P234" si="223">O234+P235</f>
        <v>10</v>
      </c>
      <c r="Q234" s="77">
        <f t="shared" ref="Q234" si="224">P234+Q235</f>
        <v>11</v>
      </c>
      <c r="R234" s="77">
        <f t="shared" ref="R234" si="225">Q234+R235</f>
        <v>12</v>
      </c>
      <c r="S234" s="22">
        <f>R234</f>
        <v>12</v>
      </c>
      <c r="T234" s="22"/>
      <c r="U234" s="22"/>
      <c r="V234" s="22"/>
      <c r="W234" s="22"/>
      <c r="X234" s="22"/>
      <c r="Y234" s="22"/>
      <c r="Z234" s="22"/>
      <c r="AA234" s="60"/>
      <c r="AB234" s="61"/>
      <c r="AC234" s="59"/>
      <c r="AD234" s="59"/>
    </row>
    <row r="235" spans="1:30" ht="25" customHeight="1" x14ac:dyDescent="0.2">
      <c r="A235" s="83"/>
      <c r="B235" s="91"/>
      <c r="C235" s="91"/>
      <c r="D235" s="91"/>
      <c r="E235" s="91"/>
      <c r="F235" s="21"/>
      <c r="G235" s="69">
        <v>1</v>
      </c>
      <c r="H235" s="69">
        <v>1</v>
      </c>
      <c r="I235" s="69">
        <v>1</v>
      </c>
      <c r="J235" s="69">
        <v>1</v>
      </c>
      <c r="K235" s="69">
        <v>1</v>
      </c>
      <c r="L235" s="69">
        <v>1</v>
      </c>
      <c r="M235" s="69">
        <v>1</v>
      </c>
      <c r="N235" s="69">
        <v>1</v>
      </c>
      <c r="O235" s="69">
        <v>1</v>
      </c>
      <c r="P235" s="69">
        <v>1</v>
      </c>
      <c r="Q235" s="69">
        <v>1</v>
      </c>
      <c r="R235" s="69">
        <v>1</v>
      </c>
      <c r="S235" s="22">
        <f t="shared" ref="S235" si="226">SUM(G235:R235)</f>
        <v>12</v>
      </c>
      <c r="T235" s="22"/>
      <c r="U235" s="22"/>
      <c r="V235" s="22"/>
      <c r="W235" s="22"/>
      <c r="X235" s="22"/>
      <c r="Y235" s="22"/>
      <c r="Z235" s="22"/>
      <c r="AA235" s="60"/>
      <c r="AB235" s="61"/>
      <c r="AC235" s="59"/>
      <c r="AD235" s="59"/>
    </row>
    <row r="236" spans="1:30" s="25" customFormat="1" ht="18" hidden="1" customHeight="1" x14ac:dyDescent="0.2">
      <c r="A236" s="84"/>
      <c r="B236" s="20"/>
      <c r="C236" s="20"/>
      <c r="D236" s="20"/>
      <c r="E236" s="20"/>
      <c r="F236" s="21"/>
      <c r="G236" s="24"/>
      <c r="H236" s="24"/>
      <c r="I236" s="24"/>
      <c r="J236" s="24"/>
      <c r="K236" s="24"/>
      <c r="L236" s="24"/>
      <c r="M236" s="24" t="e">
        <f>L236+(SUM(#REF!))</f>
        <v>#REF!</v>
      </c>
      <c r="N236" s="24" t="e">
        <f>M236+(SUM(#REF!))</f>
        <v>#REF!</v>
      </c>
      <c r="O236" s="24" t="e">
        <f>N236+SUM(#REF!)</f>
        <v>#REF!</v>
      </c>
      <c r="P236" s="24" t="e">
        <f>O236+SUM(#REF!)</f>
        <v>#REF!</v>
      </c>
      <c r="Q236" s="24" t="e">
        <f>P236+SUM(#REF!)</f>
        <v>#REF!</v>
      </c>
      <c r="R236" s="24" t="e">
        <f>Q236+SUM(#REF!)</f>
        <v>#REF!</v>
      </c>
      <c r="S236" s="22" t="e">
        <f>R236</f>
        <v>#REF!</v>
      </c>
      <c r="T236" s="24"/>
      <c r="U236" s="24"/>
      <c r="V236" s="24"/>
      <c r="W236" s="24"/>
      <c r="X236" s="24"/>
      <c r="Y236" s="24"/>
      <c r="Z236" s="24"/>
      <c r="AA236" s="61"/>
      <c r="AB236" s="59"/>
      <c r="AC236" s="59"/>
      <c r="AD236" s="59"/>
    </row>
  </sheetData>
  <mergeCells count="340">
    <mergeCell ref="AC15:AC17"/>
    <mergeCell ref="AD15:AD17"/>
    <mergeCell ref="AA22:AA46"/>
    <mergeCell ref="AB22:AB46"/>
    <mergeCell ref="AC22:AC46"/>
    <mergeCell ref="AD22:AD46"/>
    <mergeCell ref="B24:E24"/>
    <mergeCell ref="B15:E15"/>
    <mergeCell ref="B17:E17"/>
    <mergeCell ref="B22:E22"/>
    <mergeCell ref="B18:E18"/>
    <mergeCell ref="B20:E20"/>
    <mergeCell ref="B21:E21"/>
    <mergeCell ref="B25:E25"/>
    <mergeCell ref="B27:E27"/>
    <mergeCell ref="B34:E34"/>
    <mergeCell ref="AA15:AA17"/>
    <mergeCell ref="AB15:AB17"/>
    <mergeCell ref="B40:E40"/>
    <mergeCell ref="B42:E42"/>
    <mergeCell ref="B207:E207"/>
    <mergeCell ref="B195:E195"/>
    <mergeCell ref="AA6:AA8"/>
    <mergeCell ref="AB6:AB8"/>
    <mergeCell ref="AC6:AC8"/>
    <mergeCell ref="AD6:AD8"/>
    <mergeCell ref="B8:E8"/>
    <mergeCell ref="A4:Z4"/>
    <mergeCell ref="A6:A14"/>
    <mergeCell ref="B6:E6"/>
    <mergeCell ref="B9:E9"/>
    <mergeCell ref="B14:E14"/>
    <mergeCell ref="B43:E43"/>
    <mergeCell ref="B45:E45"/>
    <mergeCell ref="B36:E36"/>
    <mergeCell ref="B37:E37"/>
    <mergeCell ref="AA9:AA12"/>
    <mergeCell ref="AB9:AB12"/>
    <mergeCell ref="AC9:AC12"/>
    <mergeCell ref="AD9:AD12"/>
    <mergeCell ref="B11:E11"/>
    <mergeCell ref="B12:E12"/>
    <mergeCell ref="B31:E31"/>
    <mergeCell ref="B33:E33"/>
    <mergeCell ref="B202:E202"/>
    <mergeCell ref="B188:E188"/>
    <mergeCell ref="B189:E189"/>
    <mergeCell ref="B175:E175"/>
    <mergeCell ref="B167:E167"/>
    <mergeCell ref="B160:E160"/>
    <mergeCell ref="B141:E141"/>
    <mergeCell ref="B133:E133"/>
    <mergeCell ref="B206:E206"/>
    <mergeCell ref="B125:E125"/>
    <mergeCell ref="B111:E111"/>
    <mergeCell ref="A113:A145"/>
    <mergeCell ref="B104:E104"/>
    <mergeCell ref="B98:E98"/>
    <mergeCell ref="A15:A48"/>
    <mergeCell ref="B49:E49"/>
    <mergeCell ref="B39:E39"/>
    <mergeCell ref="B28:E28"/>
    <mergeCell ref="B30:E30"/>
    <mergeCell ref="B82:E82"/>
    <mergeCell ref="B83:E83"/>
    <mergeCell ref="B84:E84"/>
    <mergeCell ref="B85:E85"/>
    <mergeCell ref="B86:E86"/>
    <mergeCell ref="A73:A111"/>
    <mergeCell ref="B78:E78"/>
    <mergeCell ref="B57:E57"/>
    <mergeCell ref="B58:E58"/>
    <mergeCell ref="B59:E59"/>
    <mergeCell ref="B46:E46"/>
    <mergeCell ref="B48:E48"/>
    <mergeCell ref="AA208:AA218"/>
    <mergeCell ref="AB208:AB218"/>
    <mergeCell ref="AC208:AC218"/>
    <mergeCell ref="AD208:AD218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08:E208"/>
    <mergeCell ref="AA195:AA201"/>
    <mergeCell ref="AB195:AB201"/>
    <mergeCell ref="AC195:AC201"/>
    <mergeCell ref="AD195:AD201"/>
    <mergeCell ref="B197:E197"/>
    <mergeCell ref="B198:E198"/>
    <mergeCell ref="B199:E199"/>
    <mergeCell ref="B200:E200"/>
    <mergeCell ref="B201:E201"/>
    <mergeCell ref="AA189:AA194"/>
    <mergeCell ref="AB189:AB194"/>
    <mergeCell ref="AC189:AC194"/>
    <mergeCell ref="AD189:AD194"/>
    <mergeCell ref="B191:E191"/>
    <mergeCell ref="B192:E192"/>
    <mergeCell ref="B193:E193"/>
    <mergeCell ref="B194:E194"/>
    <mergeCell ref="A182:A218"/>
    <mergeCell ref="B182:E182"/>
    <mergeCell ref="AA182:AA188"/>
    <mergeCell ref="AB182:AB188"/>
    <mergeCell ref="AC182:AC188"/>
    <mergeCell ref="AD182:AD188"/>
    <mergeCell ref="B184:E184"/>
    <mergeCell ref="B185:E185"/>
    <mergeCell ref="B186:E186"/>
    <mergeCell ref="B187:E187"/>
    <mergeCell ref="AA202:AA207"/>
    <mergeCell ref="AB202:AB207"/>
    <mergeCell ref="AC202:AC207"/>
    <mergeCell ref="AD202:AD207"/>
    <mergeCell ref="B204:E204"/>
    <mergeCell ref="B205:E205"/>
    <mergeCell ref="AA175:AA180"/>
    <mergeCell ref="AB175:AB180"/>
    <mergeCell ref="AC175:AC180"/>
    <mergeCell ref="AD175:AD180"/>
    <mergeCell ref="B177:E177"/>
    <mergeCell ref="B178:E178"/>
    <mergeCell ref="B180:E180"/>
    <mergeCell ref="B172:E172"/>
    <mergeCell ref="AA172:AA174"/>
    <mergeCell ref="AB172:AB174"/>
    <mergeCell ref="AC172:AC174"/>
    <mergeCell ref="AD172:AD174"/>
    <mergeCell ref="B174:E174"/>
    <mergeCell ref="AB156:AB159"/>
    <mergeCell ref="AC156:AC159"/>
    <mergeCell ref="AD156:AD159"/>
    <mergeCell ref="B158:E158"/>
    <mergeCell ref="B159:E159"/>
    <mergeCell ref="AA167:AA171"/>
    <mergeCell ref="AB167:AB171"/>
    <mergeCell ref="AC167:AC171"/>
    <mergeCell ref="AD167:AD171"/>
    <mergeCell ref="B169:E169"/>
    <mergeCell ref="B170:E170"/>
    <mergeCell ref="B171:E171"/>
    <mergeCell ref="B164:E164"/>
    <mergeCell ref="AA164:AA166"/>
    <mergeCell ref="AB164:AB166"/>
    <mergeCell ref="AC164:AC166"/>
    <mergeCell ref="AD164:AD166"/>
    <mergeCell ref="B166:E166"/>
    <mergeCell ref="AA152:AA155"/>
    <mergeCell ref="AB152:AB155"/>
    <mergeCell ref="AC152:AC155"/>
    <mergeCell ref="AD152:AD155"/>
    <mergeCell ref="B154:E154"/>
    <mergeCell ref="B155:E155"/>
    <mergeCell ref="A147:A180"/>
    <mergeCell ref="B147:E147"/>
    <mergeCell ref="AA147:AA151"/>
    <mergeCell ref="AB147:AB151"/>
    <mergeCell ref="AC147:AC151"/>
    <mergeCell ref="AD147:AD151"/>
    <mergeCell ref="B149:E149"/>
    <mergeCell ref="B150:E150"/>
    <mergeCell ref="B151:E151"/>
    <mergeCell ref="B152:E152"/>
    <mergeCell ref="AA160:AA163"/>
    <mergeCell ref="AB160:AB163"/>
    <mergeCell ref="AC160:AC163"/>
    <mergeCell ref="AD160:AD163"/>
    <mergeCell ref="B162:E162"/>
    <mergeCell ref="B163:E163"/>
    <mergeCell ref="B156:E156"/>
    <mergeCell ref="AA156:AA159"/>
    <mergeCell ref="AA141:AA145"/>
    <mergeCell ref="AB141:AB145"/>
    <mergeCell ref="AC141:AC145"/>
    <mergeCell ref="AD141:AD145"/>
    <mergeCell ref="B143:E143"/>
    <mergeCell ref="B144:E144"/>
    <mergeCell ref="B145:E145"/>
    <mergeCell ref="B136:E136"/>
    <mergeCell ref="AA136:AA140"/>
    <mergeCell ref="AB136:AB140"/>
    <mergeCell ref="AC136:AC140"/>
    <mergeCell ref="AD136:AD140"/>
    <mergeCell ref="B138:E138"/>
    <mergeCell ref="B139:E139"/>
    <mergeCell ref="B140:E140"/>
    <mergeCell ref="AA133:AA135"/>
    <mergeCell ref="AB133:AB135"/>
    <mergeCell ref="AC133:AC135"/>
    <mergeCell ref="AD133:AD135"/>
    <mergeCell ref="B135:E135"/>
    <mergeCell ref="B129:E129"/>
    <mergeCell ref="AA129:AA132"/>
    <mergeCell ref="AB129:AB132"/>
    <mergeCell ref="AC129:AC132"/>
    <mergeCell ref="AD129:AD132"/>
    <mergeCell ref="B131:E131"/>
    <mergeCell ref="B132:E132"/>
    <mergeCell ref="AA125:AA128"/>
    <mergeCell ref="AB125:AB128"/>
    <mergeCell ref="AC125:AC128"/>
    <mergeCell ref="AD125:AD128"/>
    <mergeCell ref="B127:E127"/>
    <mergeCell ref="B128:E128"/>
    <mergeCell ref="B119:E119"/>
    <mergeCell ref="B120:E120"/>
    <mergeCell ref="AA120:AA124"/>
    <mergeCell ref="AB120:AB124"/>
    <mergeCell ref="AC120:AC124"/>
    <mergeCell ref="AD120:AD124"/>
    <mergeCell ref="B122:E122"/>
    <mergeCell ref="B123:E123"/>
    <mergeCell ref="B124:E124"/>
    <mergeCell ref="AA113:AA119"/>
    <mergeCell ref="AB113:AB119"/>
    <mergeCell ref="AC113:AC119"/>
    <mergeCell ref="AD113:AD119"/>
    <mergeCell ref="B115:E115"/>
    <mergeCell ref="B116:E116"/>
    <mergeCell ref="B117:E117"/>
    <mergeCell ref="B118:E118"/>
    <mergeCell ref="B113:E113"/>
    <mergeCell ref="AA104:AA111"/>
    <mergeCell ref="AB104:AB111"/>
    <mergeCell ref="AC104:AC111"/>
    <mergeCell ref="AD104:AD111"/>
    <mergeCell ref="B106:E106"/>
    <mergeCell ref="B107:E107"/>
    <mergeCell ref="B108:E108"/>
    <mergeCell ref="B109:E109"/>
    <mergeCell ref="B110:E110"/>
    <mergeCell ref="AA98:AA103"/>
    <mergeCell ref="AB98:AB103"/>
    <mergeCell ref="AC98:AC103"/>
    <mergeCell ref="AD98:AD103"/>
    <mergeCell ref="B100:E100"/>
    <mergeCell ref="B101:E101"/>
    <mergeCell ref="B102:E102"/>
    <mergeCell ref="B103:E103"/>
    <mergeCell ref="B92:E92"/>
    <mergeCell ref="AA92:AA97"/>
    <mergeCell ref="AB92:AB97"/>
    <mergeCell ref="AC92:AC97"/>
    <mergeCell ref="AD92:AD97"/>
    <mergeCell ref="B94:E94"/>
    <mergeCell ref="B95:E95"/>
    <mergeCell ref="B96:E96"/>
    <mergeCell ref="B97:E97"/>
    <mergeCell ref="AA86:AA91"/>
    <mergeCell ref="AB86:AB91"/>
    <mergeCell ref="AC86:AC91"/>
    <mergeCell ref="AD86:AD91"/>
    <mergeCell ref="B88:E88"/>
    <mergeCell ref="B89:E89"/>
    <mergeCell ref="B90:E90"/>
    <mergeCell ref="B91:E91"/>
    <mergeCell ref="AA67:AA71"/>
    <mergeCell ref="AB67:AB71"/>
    <mergeCell ref="AC67:AC71"/>
    <mergeCell ref="AD67:AD71"/>
    <mergeCell ref="B68:E68"/>
    <mergeCell ref="B69:E69"/>
    <mergeCell ref="B70:E70"/>
    <mergeCell ref="B71:E71"/>
    <mergeCell ref="B73:E73"/>
    <mergeCell ref="AA73:AA77"/>
    <mergeCell ref="AB73:AB77"/>
    <mergeCell ref="AC73:AC77"/>
    <mergeCell ref="AD73:AD77"/>
    <mergeCell ref="B75:E75"/>
    <mergeCell ref="B76:E76"/>
    <mergeCell ref="B77:E77"/>
    <mergeCell ref="AA78:AA85"/>
    <mergeCell ref="AB78:AB85"/>
    <mergeCell ref="AC78:AC85"/>
    <mergeCell ref="AD78:AD85"/>
    <mergeCell ref="B80:E80"/>
    <mergeCell ref="B81:E81"/>
    <mergeCell ref="AA2:AD2"/>
    <mergeCell ref="A50:Z50"/>
    <mergeCell ref="A52:A71"/>
    <mergeCell ref="B52:E52"/>
    <mergeCell ref="AA52:AA58"/>
    <mergeCell ref="AB52:AB58"/>
    <mergeCell ref="AC52:AC58"/>
    <mergeCell ref="AD52:AD58"/>
    <mergeCell ref="B54:E54"/>
    <mergeCell ref="B55:E55"/>
    <mergeCell ref="AC59:AC65"/>
    <mergeCell ref="AD59:AD65"/>
    <mergeCell ref="B61:E61"/>
    <mergeCell ref="B62:E62"/>
    <mergeCell ref="B63:E63"/>
    <mergeCell ref="B64:E64"/>
    <mergeCell ref="B65:E65"/>
    <mergeCell ref="B56:E56"/>
    <mergeCell ref="AA59:AA65"/>
    <mergeCell ref="AB59:AB65"/>
    <mergeCell ref="B67:E67"/>
    <mergeCell ref="A1:Z1"/>
    <mergeCell ref="A2:B3"/>
    <mergeCell ref="C2:C3"/>
    <mergeCell ref="D2:D3"/>
    <mergeCell ref="E2:E3"/>
    <mergeCell ref="G2:R2"/>
    <mergeCell ref="S2:S3"/>
    <mergeCell ref="T2:T3"/>
    <mergeCell ref="U2:U3"/>
    <mergeCell ref="V2:Z2"/>
    <mergeCell ref="A219:Z219"/>
    <mergeCell ref="A221:A229"/>
    <mergeCell ref="B221:E221"/>
    <mergeCell ref="AA221:AA223"/>
    <mergeCell ref="AB221:AB223"/>
    <mergeCell ref="AC221:AC223"/>
    <mergeCell ref="AD221:AD223"/>
    <mergeCell ref="B223:E223"/>
    <mergeCell ref="B224:E224"/>
    <mergeCell ref="AA224:AA227"/>
    <mergeCell ref="AB224:AB227"/>
    <mergeCell ref="AC224:AC227"/>
    <mergeCell ref="AD224:AD227"/>
    <mergeCell ref="B226:E226"/>
    <mergeCell ref="B227:E227"/>
    <mergeCell ref="B229:E229"/>
    <mergeCell ref="A230:A236"/>
    <mergeCell ref="B230:E230"/>
    <mergeCell ref="AA230:AA232"/>
    <mergeCell ref="AB230:AB232"/>
    <mergeCell ref="AC230:AC232"/>
    <mergeCell ref="AD230:AD232"/>
    <mergeCell ref="B232:E232"/>
    <mergeCell ref="B233:E233"/>
    <mergeCell ref="B235:E235"/>
  </mergeCells>
  <pageMargins left="0.25" right="0.25" top="0.75" bottom="0.75" header="0.3" footer="0.3"/>
  <pageSetup paperSize="9" scale="2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368DFE4B6B9B4594DB651E8084BF07" ma:contentTypeVersion="17" ma:contentTypeDescription="Create a new document." ma:contentTypeScope="" ma:versionID="8222c37d043f13d2ed698035541a19af">
  <xsd:schema xmlns:xsd="http://www.w3.org/2001/XMLSchema" xmlns:xs="http://www.w3.org/2001/XMLSchema" xmlns:p="http://schemas.microsoft.com/office/2006/metadata/properties" xmlns:ns2="c491186b-6ec6-4954-864b-8ba057fc1403" xmlns:ns3="975453e2-1c26-42c9-9b2d-b9c301f6e959" targetNamespace="http://schemas.microsoft.com/office/2006/metadata/properties" ma:root="true" ma:fieldsID="d6823964c7165e116fe772fe9036f8a3" ns2:_="" ns3:_="">
    <xsd:import namespace="c491186b-6ec6-4954-864b-8ba057fc1403"/>
    <xsd:import namespace="975453e2-1c26-42c9-9b2d-b9c301f6e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1186b-6ec6-4954-864b-8ba057fc1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7618eeb-445b-4699-b850-b1f60ab18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453e2-1c26-42c9-9b2d-b9c301f6e95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1c8a0fd-bbec-4a55-b318-46d045cc9c2a}" ma:internalName="TaxCatchAll" ma:showField="CatchAllData" ma:web="975453e2-1c26-42c9-9b2d-b9c301f6e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1186b-6ec6-4954-864b-8ba057fc1403">
      <Terms xmlns="http://schemas.microsoft.com/office/infopath/2007/PartnerControls"/>
    </lcf76f155ced4ddcb4097134ff3c332f>
    <TaxCatchAll xmlns="975453e2-1c26-42c9-9b2d-b9c301f6e959" xsi:nil="true"/>
  </documentManagement>
</p:properties>
</file>

<file path=customXml/itemProps1.xml><?xml version="1.0" encoding="utf-8"?>
<ds:datastoreItem xmlns:ds="http://schemas.openxmlformats.org/officeDocument/2006/customXml" ds:itemID="{37D1465F-176F-4C64-ABFB-7F821137F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1186b-6ec6-4954-864b-8ba057fc1403"/>
    <ds:schemaRef ds:uri="975453e2-1c26-42c9-9b2d-b9c301f6e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7418A-BBE9-4E83-853F-55471047F2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28B707-BED0-41CF-A9AF-1CBCEB21162D}">
  <ds:schemaRefs>
    <ds:schemaRef ds:uri="http://schemas.microsoft.com/office/2006/metadata/properties"/>
    <ds:schemaRef ds:uri="http://schemas.microsoft.com/office/infopath/2007/PartnerControls"/>
    <ds:schemaRef ds:uri="c491186b-6ec6-4954-864b-8ba057fc1403"/>
    <ds:schemaRef ds:uri="975453e2-1c26-42c9-9b2d-b9c301f6e9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Risk_Bar_result</vt:lpstr>
      <vt:lpstr>Risk_Bar</vt:lpstr>
      <vt:lpstr>Risk_Bar!Print_Titles</vt:lpstr>
      <vt:lpstr>Risk_Bar_result!Print_Titles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WARISARA KATESAWASDI</dc:creator>
  <cp:keywords/>
  <dc:description/>
  <cp:lastModifiedBy>จิรภัทร นันทะเลขา</cp:lastModifiedBy>
  <cp:revision/>
  <dcterms:created xsi:type="dcterms:W3CDTF">2025-11-20T06:51:48Z</dcterms:created>
  <dcterms:modified xsi:type="dcterms:W3CDTF">2026-06-10T07:07:26Z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0x01010099368DFE4B6B9B4594DB651E8084BF07</vt:lpwstr>
  </property>
  <property fmtid="{D5CDD505-2E9C-101B-9397-08002B2CF9AE}" pid="3" name="MediaServiceImageTags">
    <vt:lpwstr/>
  </property>
</Properties>
</file>